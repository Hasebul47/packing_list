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KL" sheetId="1" state="visible" r:id="rId3"/>
    <sheet name="sum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<sst xmlns="http://schemas.openxmlformats.org/spreadsheetml/2006/main" count="177" uniqueCount="77">
  <si>
    <t xml:space="preserve">CREATIVE COLLECTIONS LTD-1A.</t>
  </si>
  <si>
    <t xml:space="preserve">Nishat Nagar , Tongi , Gazipur .</t>
  </si>
  <si>
    <t xml:space="preserve">SIZE</t>
  </si>
  <si>
    <t xml:space="preserve">12-18M</t>
  </si>
  <si>
    <t xml:space="preserve">18-24M</t>
  </si>
  <si>
    <t xml:space="preserve">2T</t>
  </si>
  <si>
    <t xml:space="preserve">3T</t>
  </si>
  <si>
    <t xml:space="preserve">4T</t>
  </si>
  <si>
    <t xml:space="preserve">5T</t>
  </si>
  <si>
    <t xml:space="preserve">6T</t>
  </si>
  <si>
    <t xml:space="preserve">CTN CODE</t>
  </si>
  <si>
    <t xml:space="preserve">G81</t>
  </si>
  <si>
    <t xml:space="preserve">G82</t>
  </si>
  <si>
    <t xml:space="preserve">G84</t>
  </si>
  <si>
    <t xml:space="preserve">G85</t>
  </si>
  <si>
    <t xml:space="preserve">N.W</t>
  </si>
  <si>
    <t xml:space="preserve">N.WT</t>
  </si>
  <si>
    <t xml:space="preserve">EMPTY CTN WT</t>
  </si>
  <si>
    <t xml:space="preserve">N.N.W</t>
  </si>
  <si>
    <t xml:space="preserve">N.N.WT</t>
  </si>
  <si>
    <t xml:space="preserve">GROSS-NET MULTI</t>
  </si>
  <si>
    <t xml:space="preserve">EMPTY CTN WET</t>
  </si>
  <si>
    <t xml:space="preserve">MULTY PACK ( N )</t>
  </si>
  <si>
    <t xml:space="preserve">BUYER</t>
  </si>
  <si>
    <t xml:space="preserve">:</t>
  </si>
  <si>
    <t xml:space="preserve">OLD NAVY</t>
  </si>
  <si>
    <t xml:space="preserve">STYLE</t>
  </si>
  <si>
    <t xml:space="preserve">908546-01-1</t>
  </si>
  <si>
    <t xml:space="preserve">P. O. #</t>
  </si>
  <si>
    <t xml:space="preserve">61429740</t>
  </si>
  <si>
    <t xml:space="preserve">O/QTY</t>
  </si>
  <si>
    <t xml:space="preserve">PO #</t>
  </si>
  <si>
    <t xml:space="preserve">SHIP QTY</t>
  </si>
  <si>
    <t xml:space="preserve">SKU / Item</t>
  </si>
  <si>
    <t xml:space="preserve">EX/SHORT</t>
  </si>
  <si>
    <t xml:space="preserve">Unit / Prepack</t>
  </si>
  <si>
    <t xml:space="preserve">9/4</t>
  </si>
  <si>
    <t xml:space="preserve">CTN QTY</t>
  </si>
  <si>
    <t xml:space="preserve">CARTON</t>
  </si>
  <si>
    <t xml:space="preserve">CTN MEAS.</t>
  </si>
  <si>
    <t xml:space="preserve">58.67 X 38.48 X 29.71 CM.G8. SL</t>
  </si>
  <si>
    <t xml:space="preserve">58.67 X 38.48 X 14.86 CM.G8S. SL</t>
  </si>
  <si>
    <t xml:space="preserve">38.48 X 29.33 X 14.86 CM.G-8M</t>
  </si>
  <si>
    <t xml:space="preserve">29.33 X 19.25 X 14.86 CM.G-8XS</t>
  </si>
  <si>
    <t xml:space="preserve">55.88 X 38.1  X 15.24 CM G13</t>
  </si>
  <si>
    <t xml:space="preserve">CTN</t>
  </si>
  <si>
    <t xml:space="preserve">COLOR</t>
  </si>
  <si>
    <t xml:space="preserve">PREPACK STECKER</t>
  </si>
  <si>
    <t xml:space="preserve">PER BLST</t>
  </si>
  <si>
    <t xml:space="preserve">QTY PER CTN</t>
  </si>
  <si>
    <t xml:space="preserve">TOTAL QTY</t>
  </si>
  <si>
    <t xml:space="preserve">GROSS WEIGHT</t>
  </si>
  <si>
    <t xml:space="preserve">NET WEIGHT</t>
  </si>
  <si>
    <t xml:space="preserve">NO</t>
  </si>
  <si>
    <t xml:space="preserve">MES:</t>
  </si>
  <si>
    <t xml:space="preserve">ESPRESSO BARK</t>
  </si>
  <si>
    <t xml:space="preserve">X</t>
  </si>
  <si>
    <t xml:space="preserve">TOTAL</t>
  </si>
  <si>
    <t xml:space="preserve">CTNS</t>
  </si>
  <si>
    <t xml:space="preserve">PCS</t>
  </si>
  <si>
    <t xml:space="preserve">908546-00-1</t>
  </si>
  <si>
    <t xml:space="preserve">IN THE NAVY</t>
  </si>
  <si>
    <t xml:space="preserve">CREATIVE COLLECTIONS LIMITED (UNIT-1A)</t>
  </si>
  <si>
    <t xml:space="preserve">Nishatnagar,Tongi,Gazipur</t>
  </si>
  <si>
    <t xml:space="preserve">PACKING LIST SUMMARY</t>
  </si>
  <si>
    <t xml:space="preserve">908546</t>
  </si>
  <si>
    <t xml:space="preserve">DC</t>
  </si>
  <si>
    <t xml:space="preserve">PO NO</t>
  </si>
  <si>
    <t xml:space="preserve">SEASON</t>
  </si>
  <si>
    <t xml:space="preserve">COLOR/CODE</t>
  </si>
  <si>
    <t xml:space="preserve">ORD/QTY</t>
  </si>
  <si>
    <t xml:space="preserve">SHIP/QTY</t>
  </si>
  <si>
    <t xml:space="preserve">EXCES</t>
  </si>
  <si>
    <t xml:space="preserve">SHORT</t>
  </si>
  <si>
    <t xml:space="preserve">PER (%)</t>
  </si>
  <si>
    <t xml:space="preserve">BDC</t>
  </si>
  <si>
    <t xml:space="preserve">Sum'26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</si>
</sst>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0.000"/>
    <numFmt numFmtId="166" formatCode="0.00"/>
    <numFmt numFmtId="167" formatCode="#,##0&quot; PCS&quot;"/>
    <numFmt numFmtId="168" formatCode="#,##0&quot; CTNS&quot;"/>
    <numFmt numFmtId="169" formatCode="0.00%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u val="single"/>
      <sz val="18"/>
      <name val="Courier New"/>
      <family val="0"/>
      <charset val="1"/>
    </font>
    <font>
      <b val="true"/>
      <sz val="13"/>
      <name val="Courier New"/>
      <family val="0"/>
      <charset val="1"/>
    </font>
    <font>
      <b val="true"/>
      <sz val="11"/>
      <name val="Courier New"/>
      <family val="0"/>
      <charset val="1"/>
    </font>
    <font>
      <sz val="11"/>
      <name val="Courier New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D9D9D9"/>
        <bgColor rgb="FFF2F2F2"/>
      </patternFill>
    </fill>
    <fill>
      <patternFill patternType="solid">
        <fgColor rgb="FFF2F2F2"/>
        <bgColor rgb="FFFFFFCC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/>
      <top style="medium"/>
      <bottom style="medium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0" fillId="0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0" fillId="0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7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8" fontId="7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0" fillId="0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6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2F2F2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T4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7"/>
    <col collapsed="false" customWidth="true" hidden="false" outlineLevel="0" max="3" min="3" style="0" width="8"/>
    <col collapsed="false" customWidth="true" hidden="false" outlineLevel="0" max="4" min="4" style="0" width="10"/>
    <col collapsed="false" customWidth="true" hidden="false" outlineLevel="0" max="5" min="5" style="0" width="20"/>
    <col collapsed="false" customWidth="true" hidden="false" outlineLevel="0" max="6" min="6" style="0" width="18"/>
    <col collapsed="false" customWidth="true" hidden="false" outlineLevel="0" max="13" min="7" style="0" width="8"/>
    <col collapsed="false" customWidth="true" hidden="false" outlineLevel="0" max="14" min="14" style="0" width="12"/>
    <col collapsed="false" customWidth="true" hidden="false" outlineLevel="0" max="15" min="15" style="0" width="4"/>
    <col collapsed="false" customWidth="true" hidden="false" outlineLevel="0" max="16" min="16" style="0" width="8"/>
    <col collapsed="false" customWidth="true" hidden="false" outlineLevel="0" max="18" min="17" style="0" width="12"/>
    <col collapsed="false" customWidth="true" hidden="false" outlineLevel="0" max="20" min="19" style="0" width="14"/>
  </cols>
  <sheetData>
    <row r="1" customFormat="false" ht="22.0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customFormat="false" ht="16.15" hidden="false" customHeight="fals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4" customFormat="false" ht="15" hidden="false" customHeight="false" outlineLevel="0" collapsed="false">
      <c r="D4" s="3" t="s">
        <v>2</v>
      </c>
      <c r="E4" s="4"/>
      <c r="F4" s="3" t="s">
        <v>2</v>
      </c>
      <c r="G4" s="5" t="s">
        <v>3</v>
      </c>
      <c r="H4" s="5" t="s">
        <v>4</v>
      </c>
      <c r="I4" s="5" t="s">
        <v>5</v>
      </c>
      <c r="J4" s="5" t="s">
        <v>6</v>
      </c>
      <c r="K4" s="5" t="s">
        <v>7</v>
      </c>
      <c r="L4" s="5" t="s">
        <v>8</v>
      </c>
      <c r="M4" s="5" t="s">
        <v>9</v>
      </c>
      <c r="N4" s="3" t="s">
        <v>10</v>
      </c>
      <c r="O4" s="3"/>
      <c r="P4" s="3"/>
      <c r="Q4" s="5" t="s">
        <v>11</v>
      </c>
      <c r="R4" s="5" t="s">
        <v>12</v>
      </c>
      <c r="S4" s="5" t="s">
        <v>13</v>
      </c>
      <c r="T4" s="5" t="s">
        <v>14</v>
      </c>
    </row>
    <row r="5" customFormat="false" ht="15" hidden="false" customHeight="false" outlineLevel="0" collapsed="false">
      <c r="D5" s="3" t="s">
        <v>15</v>
      </c>
      <c r="E5" s="4"/>
      <c r="F5" s="3" t="s">
        <v>16</v>
      </c>
      <c r="G5" s="6" t="n">
        <v>0.17</v>
      </c>
      <c r="H5" s="6" t="n">
        <v>0.19</v>
      </c>
      <c r="I5" s="6" t="n">
        <v>0.21</v>
      </c>
      <c r="J5" s="6" t="n">
        <v>0.22</v>
      </c>
      <c r="K5" s="6" t="n">
        <v>0.25</v>
      </c>
      <c r="L5" s="6" t="n">
        <v>0.26</v>
      </c>
      <c r="M5" s="6" t="n">
        <v>0.28</v>
      </c>
      <c r="N5" s="3" t="s">
        <v>17</v>
      </c>
      <c r="O5" s="3"/>
      <c r="P5" s="3"/>
      <c r="Q5" s="7" t="n">
        <v>0.71</v>
      </c>
      <c r="R5" s="7" t="n">
        <v>0.71</v>
      </c>
      <c r="S5" s="7" t="n">
        <v>0.24</v>
      </c>
      <c r="T5" s="7" t="n">
        <v>0.24</v>
      </c>
    </row>
    <row r="6" customFormat="false" ht="15" hidden="false" customHeight="false" outlineLevel="0" collapsed="false">
      <c r="D6" s="3" t="s">
        <v>18</v>
      </c>
      <c r="E6" s="4"/>
      <c r="F6" s="3" t="s">
        <v>19</v>
      </c>
      <c r="G6" s="6" t="n">
        <v>0.15</v>
      </c>
      <c r="H6" s="6" t="n">
        <v>0.17</v>
      </c>
      <c r="I6" s="6" t="n">
        <v>0.19</v>
      </c>
      <c r="J6" s="6" t="n">
        <v>0.2</v>
      </c>
      <c r="K6" s="6" t="n">
        <v>0.23</v>
      </c>
      <c r="L6" s="6" t="n">
        <v>0.24</v>
      </c>
      <c r="M6" s="6" t="n">
        <v>0.26</v>
      </c>
      <c r="N6" s="3" t="s">
        <v>20</v>
      </c>
      <c r="O6" s="3"/>
      <c r="P6" s="3"/>
      <c r="Q6" s="8" t="n">
        <v>0.42</v>
      </c>
      <c r="R6" s="4"/>
      <c r="S6" s="4"/>
      <c r="T6" s="4"/>
    </row>
    <row r="7" customFormat="false" ht="15" hidden="false" customHeight="false" outlineLevel="0" collapsed="false">
      <c r="D7" s="3" t="s">
        <v>21</v>
      </c>
      <c r="E7" s="3"/>
      <c r="F7" s="3"/>
      <c r="G7" s="4"/>
      <c r="H7" s="4"/>
      <c r="I7" s="4"/>
      <c r="J7" s="4"/>
      <c r="K7" s="4"/>
      <c r="L7" s="4"/>
      <c r="M7" s="4"/>
    </row>
    <row r="9" customFormat="false" ht="16.15" hidden="false" customHeight="false" outlineLevel="0" collapsed="false">
      <c r="A9" s="9" t="s">
        <v>22</v>
      </c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</row>
    <row r="10" customFormat="false" ht="15" hidden="false" customHeight="false" outlineLevel="0" collapsed="false">
      <c r="A10" s="10" t="s">
        <v>23</v>
      </c>
      <c r="B10" s="10"/>
      <c r="C10" s="11" t="s">
        <v>24</v>
      </c>
      <c r="D10" s="12" t="s">
        <v>25</v>
      </c>
      <c r="E10" s="12"/>
      <c r="F10" s="12"/>
      <c r="G10" s="12"/>
      <c r="H10" s="12"/>
    </row>
    <row r="11" customFormat="false" ht="15" hidden="false" customHeight="false" outlineLevel="0" collapsed="false">
      <c r="A11" s="10" t="s">
        <v>26</v>
      </c>
      <c r="B11" s="10"/>
      <c r="C11" s="11" t="s">
        <v>24</v>
      </c>
      <c r="D11" s="12" t="s">
        <v>27</v>
      </c>
      <c r="E11" s="12"/>
      <c r="F11" s="12"/>
      <c r="G11" s="12"/>
      <c r="H11" s="12"/>
    </row>
    <row r="12" customFormat="false" ht="15" hidden="false" customHeight="false" outlineLevel="0" collapsed="false">
      <c r="A12" s="10" t="s">
        <v>28</v>
      </c>
      <c r="B12" s="10"/>
      <c r="C12" s="11" t="s">
        <v>24</v>
      </c>
      <c r="D12" s="12" t="s">
        <v>29</v>
      </c>
      <c r="E12" s="12"/>
      <c r="F12" s="12"/>
      <c r="G12" s="12"/>
      <c r="H12" s="12"/>
    </row>
    <row r="13" customFormat="false" ht="15" hidden="false" customHeight="false" outlineLevel="0" collapsed="false">
      <c r="A13" s="10" t="s">
        <v>30</v>
      </c>
      <c r="B13" s="10"/>
      <c r="C13" s="11" t="s">
        <v>24</v>
      </c>
      <c r="D13" s="13" t="n">
        <v>2223</v>
      </c>
      <c r="E13" s="13"/>
      <c r="F13" s="13"/>
      <c r="G13" s="13"/>
      <c r="H13" s="13"/>
      <c r="K13" s="10" t="s">
        <v>31</v>
      </c>
      <c r="L13" s="10"/>
      <c r="M13" s="11" t="s">
        <v>24</v>
      </c>
      <c r="N13" s="12" t="str">
        <f aca="false">D12</f>
        <v>61429740</v>
      </c>
      <c r="O13" s="12"/>
      <c r="P13" s="12"/>
      <c r="Q13" s="12"/>
    </row>
    <row r="14" customFormat="false" ht="15" hidden="false" customHeight="false" outlineLevel="0" collapsed="false">
      <c r="A14" s="10" t="s">
        <v>32</v>
      </c>
      <c r="B14" s="10"/>
      <c r="C14" s="11" t="s">
        <v>24</v>
      </c>
      <c r="D14" s="13" t="n">
        <f aca="false">R26</f>
        <v>2223</v>
      </c>
      <c r="E14" s="13"/>
      <c r="F14" s="13"/>
      <c r="G14" s="13"/>
      <c r="H14" s="13"/>
      <c r="K14" s="10" t="s">
        <v>33</v>
      </c>
      <c r="L14" s="10"/>
      <c r="M14" s="11" t="s">
        <v>24</v>
      </c>
      <c r="N14" s="12" t="str">
        <f aca="false">D11</f>
        <v>908546-01-1</v>
      </c>
      <c r="O14" s="12"/>
      <c r="P14" s="12"/>
      <c r="Q14" s="12"/>
    </row>
    <row r="15" customFormat="false" ht="15" hidden="false" customHeight="false" outlineLevel="0" collapsed="false">
      <c r="A15" s="10" t="s">
        <v>34</v>
      </c>
      <c r="B15" s="10"/>
      <c r="C15" s="11" t="s">
        <v>24</v>
      </c>
      <c r="D15" s="13" t="n">
        <f aca="false">D14-D13</f>
        <v>0</v>
      </c>
      <c r="E15" s="13"/>
      <c r="F15" s="13"/>
      <c r="G15" s="13"/>
      <c r="H15" s="13"/>
      <c r="K15" s="10" t="s">
        <v>35</v>
      </c>
      <c r="L15" s="10"/>
      <c r="M15" s="11" t="s">
        <v>24</v>
      </c>
      <c r="N15" s="12" t="s">
        <v>36</v>
      </c>
      <c r="O15" s="12"/>
      <c r="P15" s="12"/>
      <c r="Q15" s="12"/>
    </row>
    <row r="16" customFormat="false" ht="15" hidden="false" customHeight="false" outlineLevel="0" collapsed="false">
      <c r="A16" s="10" t="s">
        <v>37</v>
      </c>
      <c r="B16" s="10"/>
      <c r="C16" s="11" t="s">
        <v>24</v>
      </c>
      <c r="D16" s="14" t="n">
        <f aca="false">D26</f>
        <v>62</v>
      </c>
      <c r="E16" s="14"/>
      <c r="F16" s="14"/>
      <c r="G16" s="14"/>
      <c r="H16" s="14"/>
      <c r="K16" s="10" t="s">
        <v>38</v>
      </c>
      <c r="L16" s="10"/>
      <c r="M16" s="11" t="s">
        <v>24</v>
      </c>
      <c r="N16" s="12" t="str">
        <f aca="false">TEXT(A24,"00")&amp;" of 177"</f>
        <v>01 of 177</v>
      </c>
      <c r="O16" s="12"/>
      <c r="P16" s="12"/>
      <c r="Q16" s="12"/>
    </row>
    <row r="17" customFormat="false" ht="15" hidden="false" customHeight="false" outlineLevel="0" collapsed="false">
      <c r="A17" s="10" t="s">
        <v>39</v>
      </c>
      <c r="B17" s="10"/>
      <c r="C17" s="11" t="s">
        <v>24</v>
      </c>
      <c r="D17" s="15" t="s">
        <v>40</v>
      </c>
      <c r="E17" s="15"/>
      <c r="F17" s="15"/>
      <c r="G17" s="15"/>
      <c r="H17" s="15"/>
    </row>
    <row r="18" customFormat="false" ht="15" hidden="false" customHeight="false" outlineLevel="0" collapsed="false">
      <c r="A18" s="10" t="s">
        <v>39</v>
      </c>
      <c r="B18" s="10"/>
      <c r="C18" s="11" t="s">
        <v>24</v>
      </c>
      <c r="D18" s="15" t="s">
        <v>41</v>
      </c>
      <c r="E18" s="15"/>
      <c r="F18" s="15"/>
      <c r="G18" s="15"/>
      <c r="H18" s="15"/>
    </row>
    <row r="19" customFormat="false" ht="15" hidden="false" customHeight="false" outlineLevel="0" collapsed="false">
      <c r="A19" s="10" t="s">
        <v>39</v>
      </c>
      <c r="B19" s="10"/>
      <c r="C19" s="11" t="s">
        <v>24</v>
      </c>
      <c r="D19" s="15" t="s">
        <v>42</v>
      </c>
      <c r="E19" s="15"/>
      <c r="F19" s="15"/>
      <c r="G19" s="15"/>
      <c r="H19" s="15"/>
    </row>
    <row r="20" customFormat="false" ht="15" hidden="false" customHeight="false" outlineLevel="0" collapsed="false">
      <c r="A20" s="10" t="s">
        <v>39</v>
      </c>
      <c r="B20" s="10"/>
      <c r="C20" s="11" t="s">
        <v>24</v>
      </c>
      <c r="D20" s="15" t="s">
        <v>43</v>
      </c>
      <c r="E20" s="15"/>
      <c r="F20" s="15"/>
      <c r="G20" s="15"/>
      <c r="H20" s="15"/>
    </row>
    <row r="21" customFormat="false" ht="15" hidden="false" customHeight="false" outlineLevel="0" collapsed="false">
      <c r="A21" s="10" t="s">
        <v>39</v>
      </c>
      <c r="B21" s="10"/>
      <c r="C21" s="11" t="s">
        <v>24</v>
      </c>
      <c r="D21" s="15" t="s">
        <v>44</v>
      </c>
      <c r="E21" s="15"/>
      <c r="F21" s="15"/>
      <c r="G21" s="15"/>
      <c r="H21" s="15"/>
    </row>
    <row r="22" customFormat="false" ht="15" hidden="false" customHeight="false" outlineLevel="0" collapsed="false">
      <c r="A22" s="16" t="s">
        <v>45</v>
      </c>
      <c r="B22" s="16"/>
      <c r="C22" s="16" t="s">
        <v>45</v>
      </c>
      <c r="D22" s="16" t="s">
        <v>37</v>
      </c>
      <c r="E22" s="16" t="s">
        <v>46</v>
      </c>
      <c r="F22" s="16" t="s">
        <v>47</v>
      </c>
      <c r="G22" s="16" t="s">
        <v>2</v>
      </c>
      <c r="H22" s="16"/>
      <c r="I22" s="16"/>
      <c r="J22" s="16"/>
      <c r="K22" s="16"/>
      <c r="L22" s="16"/>
      <c r="M22" s="16"/>
      <c r="N22" s="16" t="s">
        <v>48</v>
      </c>
      <c r="O22" s="16"/>
      <c r="P22" s="16"/>
      <c r="Q22" s="16" t="s">
        <v>49</v>
      </c>
      <c r="R22" s="16" t="s">
        <v>50</v>
      </c>
      <c r="S22" s="16" t="s">
        <v>51</v>
      </c>
      <c r="T22" s="16" t="s">
        <v>52</v>
      </c>
    </row>
    <row r="23" customFormat="false" ht="15" hidden="false" customHeight="false" outlineLevel="0" collapsed="false">
      <c r="A23" s="16" t="s">
        <v>53</v>
      </c>
      <c r="B23" s="16"/>
      <c r="C23" s="16" t="s">
        <v>54</v>
      </c>
      <c r="D23" s="16"/>
      <c r="E23" s="16" t="s">
        <v>46</v>
      </c>
      <c r="F23" s="16"/>
      <c r="G23" s="16" t="str">
        <f aca="false">G$4</f>
        <v>12-18M</v>
      </c>
      <c r="H23" s="16" t="str">
        <f aca="false">H$4</f>
        <v>18-24M</v>
      </c>
      <c r="I23" s="16" t="str">
        <f aca="false">I$4</f>
        <v>2T</v>
      </c>
      <c r="J23" s="16" t="str">
        <f aca="false">J$4</f>
        <v>3T</v>
      </c>
      <c r="K23" s="16" t="str">
        <f aca="false">K$4</f>
        <v>4T</v>
      </c>
      <c r="L23" s="16" t="str">
        <f aca="false">L$4</f>
        <v>5T</v>
      </c>
      <c r="M23" s="16" t="str">
        <f aca="false">M$4</f>
        <v>6T</v>
      </c>
      <c r="N23" s="16"/>
      <c r="O23" s="16"/>
      <c r="P23" s="16"/>
      <c r="Q23" s="16"/>
      <c r="R23" s="16"/>
      <c r="S23" s="16"/>
      <c r="T23" s="16"/>
    </row>
    <row r="24" customFormat="false" ht="15" hidden="false" customHeight="false" outlineLevel="0" collapsed="false">
      <c r="A24" s="17" t="n">
        <v>1</v>
      </c>
      <c r="B24" s="17" t="n">
        <f aca="false">A24+D24-1</f>
        <v>61</v>
      </c>
      <c r="C24" s="17" t="s">
        <v>11</v>
      </c>
      <c r="D24" s="17" t="n">
        <v>61</v>
      </c>
      <c r="E24" s="17" t="s">
        <v>55</v>
      </c>
      <c r="F24" s="17" t="n">
        <v>8655475</v>
      </c>
      <c r="G24" s="17" t="n">
        <v>1</v>
      </c>
      <c r="H24" s="17" t="n">
        <v>1</v>
      </c>
      <c r="I24" s="17" t="n">
        <v>1</v>
      </c>
      <c r="J24" s="17" t="n">
        <v>2</v>
      </c>
      <c r="K24" s="17" t="n">
        <v>2</v>
      </c>
      <c r="L24" s="17" t="n">
        <v>2</v>
      </c>
      <c r="M24" s="17"/>
      <c r="N24" s="17" t="n">
        <f aca="false">SUM(G24:M24)</f>
        <v>9</v>
      </c>
      <c r="O24" s="17" t="s">
        <v>56</v>
      </c>
      <c r="P24" s="17" t="n">
        <v>4</v>
      </c>
      <c r="Q24" s="17" t="n">
        <f aca="false">N24*P24</f>
        <v>36</v>
      </c>
      <c r="R24" s="17" t="n">
        <f aca="false">Q24*D24</f>
        <v>2196</v>
      </c>
      <c r="S24" s="18" t="n">
        <f aca="false">SUMPRODUCT(G24:M24,$G$5:$M$5)*P24+IFERROR(INDEX($Q$5:$T$5,MATCH(C24,$Q$4:$T$4,0)),0)</f>
        <v>8.83</v>
      </c>
      <c r="T24" s="18" t="n">
        <f aca="false">S24-$Q$6</f>
        <v>8.41</v>
      </c>
    </row>
    <row r="25" customFormat="false" ht="15" hidden="false" customHeight="false" outlineLevel="0" collapsed="false">
      <c r="A25" s="17" t="n">
        <f aca="false">B24+1</f>
        <v>62</v>
      </c>
      <c r="B25" s="17" t="n">
        <f aca="false">A25+D25-1</f>
        <v>62</v>
      </c>
      <c r="C25" s="17" t="s">
        <v>11</v>
      </c>
      <c r="D25" s="17" t="n">
        <v>1</v>
      </c>
      <c r="E25" s="17"/>
      <c r="F25" s="17"/>
      <c r="G25" s="17" t="n">
        <v>1</v>
      </c>
      <c r="H25" s="17" t="n">
        <v>1</v>
      </c>
      <c r="I25" s="17" t="n">
        <v>1</v>
      </c>
      <c r="J25" s="17" t="n">
        <v>2</v>
      </c>
      <c r="K25" s="17" t="n">
        <v>2</v>
      </c>
      <c r="L25" s="17" t="n">
        <v>2</v>
      </c>
      <c r="M25" s="17"/>
      <c r="N25" s="17" t="n">
        <f aca="false">SUM(G25:M25)</f>
        <v>9</v>
      </c>
      <c r="O25" s="17" t="s">
        <v>56</v>
      </c>
      <c r="P25" s="17" t="n">
        <v>3</v>
      </c>
      <c r="Q25" s="17" t="n">
        <f aca="false">N25*P25</f>
        <v>27</v>
      </c>
      <c r="R25" s="17" t="n">
        <f aca="false">Q25*D25</f>
        <v>27</v>
      </c>
      <c r="S25" s="18" t="n">
        <f aca="false">SUMPRODUCT(G25:M25,$G$5:$M$5)*P25+IFERROR(INDEX($Q$5:$T$5,MATCH(C25,$Q$4:$T$4,0)),0)</f>
        <v>6.8</v>
      </c>
      <c r="T25" s="18" t="n">
        <f aca="false">S25-$Q$6</f>
        <v>6.38</v>
      </c>
    </row>
    <row r="26" customFormat="false" ht="15" hidden="false" customHeight="false" outlineLevel="0" collapsed="false">
      <c r="A26" s="19" t="s">
        <v>57</v>
      </c>
      <c r="B26" s="19"/>
      <c r="C26" s="19"/>
      <c r="D26" s="19" t="n">
        <f aca="false">SUM(D24:D25)</f>
        <v>62</v>
      </c>
      <c r="E26" s="19" t="s">
        <v>58</v>
      </c>
      <c r="F26" s="19"/>
      <c r="G26" s="19" t="n">
        <f aca="false">SUMPRODUCT(G24:G25,P24:P25,D24:D25)</f>
        <v>247</v>
      </c>
      <c r="H26" s="19" t="n">
        <f aca="false">SUMPRODUCT(H24:H25,P24:P25,D24:D25)</f>
        <v>247</v>
      </c>
      <c r="I26" s="19" t="n">
        <f aca="false">SUMPRODUCT(I24:I25,P24:P25,D24:D25)</f>
        <v>247</v>
      </c>
      <c r="J26" s="19" t="n">
        <f aca="false">SUMPRODUCT(J24:J25,P24:P25,D24:D25)</f>
        <v>494</v>
      </c>
      <c r="K26" s="19" t="n">
        <f aca="false">SUMPRODUCT(K24:K25,P24:P25,D24:D25)</f>
        <v>494</v>
      </c>
      <c r="L26" s="19" t="n">
        <f aca="false">SUMPRODUCT(L24:L25,P24:P25,D24:D25)</f>
        <v>494</v>
      </c>
      <c r="M26" s="19"/>
      <c r="N26" s="19"/>
      <c r="O26" s="19"/>
      <c r="P26" s="19"/>
      <c r="Q26" s="19"/>
      <c r="R26" s="19" t="n">
        <f aca="false">SUM(R24:R25)</f>
        <v>2223</v>
      </c>
      <c r="S26" s="19" t="s">
        <v>59</v>
      </c>
      <c r="T26" s="19"/>
    </row>
    <row r="28" customFormat="false" ht="16.15" hidden="false" customHeight="false" outlineLevel="0" collapsed="false">
      <c r="A28" s="9" t="s">
        <v>22</v>
      </c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</row>
    <row r="29" customFormat="false" ht="15" hidden="false" customHeight="false" outlineLevel="0" collapsed="false">
      <c r="A29" s="10" t="s">
        <v>23</v>
      </c>
      <c r="B29" s="10"/>
      <c r="C29" s="11" t="s">
        <v>24</v>
      </c>
      <c r="D29" s="12" t="s">
        <v>25</v>
      </c>
      <c r="E29" s="12"/>
      <c r="F29" s="12"/>
      <c r="G29" s="12"/>
      <c r="H29" s="12"/>
    </row>
    <row r="30" customFormat="false" ht="15" hidden="false" customHeight="false" outlineLevel="0" collapsed="false">
      <c r="A30" s="10" t="s">
        <v>26</v>
      </c>
      <c r="B30" s="10"/>
      <c r="C30" s="11" t="s">
        <v>24</v>
      </c>
      <c r="D30" s="12" t="s">
        <v>60</v>
      </c>
      <c r="E30" s="12"/>
      <c r="F30" s="12"/>
      <c r="G30" s="12"/>
      <c r="H30" s="12"/>
    </row>
    <row r="31" customFormat="false" ht="15" hidden="false" customHeight="false" outlineLevel="0" collapsed="false">
      <c r="A31" s="10" t="s">
        <v>28</v>
      </c>
      <c r="B31" s="10"/>
      <c r="C31" s="11" t="s">
        <v>24</v>
      </c>
      <c r="D31" s="12" t="s">
        <v>29</v>
      </c>
      <c r="E31" s="12"/>
      <c r="F31" s="12"/>
      <c r="G31" s="12"/>
      <c r="H31" s="12"/>
    </row>
    <row r="32" customFormat="false" ht="15" hidden="false" customHeight="false" outlineLevel="0" collapsed="false">
      <c r="A32" s="10" t="s">
        <v>30</v>
      </c>
      <c r="B32" s="10"/>
      <c r="C32" s="11" t="s">
        <v>24</v>
      </c>
      <c r="D32" s="13" t="n">
        <v>2223</v>
      </c>
      <c r="E32" s="13"/>
      <c r="F32" s="13"/>
      <c r="G32" s="13"/>
      <c r="H32" s="13"/>
      <c r="K32" s="10" t="s">
        <v>31</v>
      </c>
      <c r="L32" s="10"/>
      <c r="M32" s="11" t="s">
        <v>24</v>
      </c>
      <c r="N32" s="12" t="str">
        <f aca="false">D31</f>
        <v>61429740</v>
      </c>
      <c r="O32" s="12"/>
      <c r="P32" s="12"/>
      <c r="Q32" s="12"/>
    </row>
    <row r="33" customFormat="false" ht="15" hidden="false" customHeight="false" outlineLevel="0" collapsed="false">
      <c r="A33" s="10" t="s">
        <v>32</v>
      </c>
      <c r="B33" s="10"/>
      <c r="C33" s="11" t="s">
        <v>24</v>
      </c>
      <c r="D33" s="13" t="n">
        <f aca="false">R45</f>
        <v>2223</v>
      </c>
      <c r="E33" s="13"/>
      <c r="F33" s="13"/>
      <c r="G33" s="13"/>
      <c r="H33" s="13"/>
      <c r="K33" s="10" t="s">
        <v>33</v>
      </c>
      <c r="L33" s="10"/>
      <c r="M33" s="11" t="s">
        <v>24</v>
      </c>
      <c r="N33" s="12" t="str">
        <f aca="false">D30</f>
        <v>908546-00-1</v>
      </c>
      <c r="O33" s="12"/>
      <c r="P33" s="12"/>
      <c r="Q33" s="12"/>
    </row>
    <row r="34" customFormat="false" ht="15" hidden="false" customHeight="false" outlineLevel="0" collapsed="false">
      <c r="A34" s="10" t="s">
        <v>34</v>
      </c>
      <c r="B34" s="10"/>
      <c r="C34" s="11" t="s">
        <v>24</v>
      </c>
      <c r="D34" s="13" t="n">
        <f aca="false">D33-D32</f>
        <v>0</v>
      </c>
      <c r="E34" s="13"/>
      <c r="F34" s="13"/>
      <c r="G34" s="13"/>
      <c r="H34" s="13"/>
      <c r="K34" s="10" t="s">
        <v>35</v>
      </c>
      <c r="L34" s="10"/>
      <c r="M34" s="11" t="s">
        <v>24</v>
      </c>
      <c r="N34" s="12" t="s">
        <v>36</v>
      </c>
      <c r="O34" s="12"/>
      <c r="P34" s="12"/>
      <c r="Q34" s="12"/>
    </row>
    <row r="35" customFormat="false" ht="15" hidden="false" customHeight="false" outlineLevel="0" collapsed="false">
      <c r="A35" s="10" t="s">
        <v>37</v>
      </c>
      <c r="B35" s="10"/>
      <c r="C35" s="11" t="s">
        <v>24</v>
      </c>
      <c r="D35" s="14" t="n">
        <f aca="false">D45</f>
        <v>62</v>
      </c>
      <c r="E35" s="14"/>
      <c r="F35" s="14"/>
      <c r="G35" s="14"/>
      <c r="H35" s="14"/>
      <c r="K35" s="10" t="s">
        <v>38</v>
      </c>
      <c r="L35" s="10"/>
      <c r="M35" s="11" t="s">
        <v>24</v>
      </c>
      <c r="N35" s="12" t="str">
        <f aca="false">TEXT(A43,"00")&amp;" of 177"</f>
        <v>63 of 177</v>
      </c>
      <c r="O35" s="12"/>
      <c r="P35" s="12"/>
      <c r="Q35" s="12"/>
    </row>
    <row r="36" customFormat="false" ht="15" hidden="false" customHeight="false" outlineLevel="0" collapsed="false">
      <c r="A36" s="10" t="s">
        <v>39</v>
      </c>
      <c r="B36" s="10"/>
      <c r="C36" s="11" t="s">
        <v>24</v>
      </c>
      <c r="D36" s="15" t="s">
        <v>40</v>
      </c>
      <c r="E36" s="15"/>
      <c r="F36" s="15"/>
      <c r="G36" s="15"/>
      <c r="H36" s="15"/>
    </row>
    <row r="37" customFormat="false" ht="15" hidden="false" customHeight="false" outlineLevel="0" collapsed="false">
      <c r="A37" s="10" t="s">
        <v>39</v>
      </c>
      <c r="B37" s="10"/>
      <c r="C37" s="11" t="s">
        <v>24</v>
      </c>
      <c r="D37" s="15" t="s">
        <v>41</v>
      </c>
      <c r="E37" s="15"/>
      <c r="F37" s="15"/>
      <c r="G37" s="15"/>
      <c r="H37" s="15"/>
    </row>
    <row r="38" customFormat="false" ht="15" hidden="false" customHeight="false" outlineLevel="0" collapsed="false">
      <c r="A38" s="10" t="s">
        <v>39</v>
      </c>
      <c r="B38" s="10"/>
      <c r="C38" s="11" t="s">
        <v>24</v>
      </c>
      <c r="D38" s="15" t="s">
        <v>42</v>
      </c>
      <c r="E38" s="15"/>
      <c r="F38" s="15"/>
      <c r="G38" s="15"/>
      <c r="H38" s="15"/>
    </row>
    <row r="39" customFormat="false" ht="15" hidden="false" customHeight="false" outlineLevel="0" collapsed="false">
      <c r="A39" s="10" t="s">
        <v>39</v>
      </c>
      <c r="B39" s="10"/>
      <c r="C39" s="11" t="s">
        <v>24</v>
      </c>
      <c r="D39" s="15" t="s">
        <v>43</v>
      </c>
      <c r="E39" s="15"/>
      <c r="F39" s="15"/>
      <c r="G39" s="15"/>
      <c r="H39" s="15"/>
    </row>
    <row r="40" customFormat="false" ht="15" hidden="false" customHeight="false" outlineLevel="0" collapsed="false">
      <c r="A40" s="10" t="s">
        <v>39</v>
      </c>
      <c r="B40" s="10"/>
      <c r="C40" s="11" t="s">
        <v>24</v>
      </c>
      <c r="D40" s="15" t="s">
        <v>44</v>
      </c>
      <c r="E40" s="15"/>
      <c r="F40" s="15"/>
      <c r="G40" s="15"/>
      <c r="H40" s="15"/>
    </row>
    <row r="41" customFormat="false" ht="15" hidden="false" customHeight="false" outlineLevel="0" collapsed="false">
      <c r="A41" s="16" t="s">
        <v>45</v>
      </c>
      <c r="B41" s="16"/>
      <c r="C41" s="16" t="s">
        <v>45</v>
      </c>
      <c r="D41" s="16" t="s">
        <v>37</v>
      </c>
      <c r="E41" s="16" t="s">
        <v>46</v>
      </c>
      <c r="F41" s="16" t="s">
        <v>47</v>
      </c>
      <c r="G41" s="16" t="s">
        <v>2</v>
      </c>
      <c r="H41" s="16"/>
      <c r="I41" s="16"/>
      <c r="J41" s="16"/>
      <c r="K41" s="16"/>
      <c r="L41" s="16"/>
      <c r="M41" s="16"/>
      <c r="N41" s="16" t="s">
        <v>48</v>
      </c>
      <c r="O41" s="16"/>
      <c r="P41" s="16"/>
      <c r="Q41" s="16" t="s">
        <v>49</v>
      </c>
      <c r="R41" s="16" t="s">
        <v>50</v>
      </c>
      <c r="S41" s="16" t="s">
        <v>51</v>
      </c>
      <c r="T41" s="16" t="s">
        <v>52</v>
      </c>
    </row>
    <row r="42" customFormat="false" ht="15" hidden="false" customHeight="false" outlineLevel="0" collapsed="false">
      <c r="A42" s="16" t="s">
        <v>53</v>
      </c>
      <c r="B42" s="16"/>
      <c r="C42" s="16" t="s">
        <v>54</v>
      </c>
      <c r="D42" s="16"/>
      <c r="E42" s="16" t="s">
        <v>46</v>
      </c>
      <c r="F42" s="16"/>
      <c r="G42" s="16" t="str">
        <f aca="false">G$4</f>
        <v>12-18M</v>
      </c>
      <c r="H42" s="16" t="str">
        <f aca="false">H$4</f>
        <v>18-24M</v>
      </c>
      <c r="I42" s="16" t="str">
        <f aca="false">I$4</f>
        <v>2T</v>
      </c>
      <c r="J42" s="16" t="str">
        <f aca="false">J$4</f>
        <v>3T</v>
      </c>
      <c r="K42" s="16" t="str">
        <f aca="false">K$4</f>
        <v>4T</v>
      </c>
      <c r="L42" s="16" t="str">
        <f aca="false">L$4</f>
        <v>5T</v>
      </c>
      <c r="M42" s="16" t="str">
        <f aca="false">M$4</f>
        <v>6T</v>
      </c>
      <c r="N42" s="16"/>
      <c r="O42" s="16"/>
      <c r="P42" s="16"/>
      <c r="Q42" s="16"/>
      <c r="R42" s="16"/>
      <c r="S42" s="16"/>
      <c r="T42" s="16"/>
    </row>
    <row r="43" customFormat="false" ht="15" hidden="false" customHeight="false" outlineLevel="0" collapsed="false">
      <c r="A43" s="17" t="n">
        <f aca="false">B25+1</f>
        <v>63</v>
      </c>
      <c r="B43" s="17" t="n">
        <f aca="false">A43+D43-1</f>
        <v>123</v>
      </c>
      <c r="C43" s="17" t="s">
        <v>11</v>
      </c>
      <c r="D43" s="17" t="n">
        <v>61</v>
      </c>
      <c r="E43" s="17" t="s">
        <v>61</v>
      </c>
      <c r="F43" s="17" t="n">
        <v>8655476</v>
      </c>
      <c r="G43" s="17" t="n">
        <v>1</v>
      </c>
      <c r="H43" s="17" t="n">
        <v>1</v>
      </c>
      <c r="I43" s="17" t="n">
        <v>1</v>
      </c>
      <c r="J43" s="17" t="n">
        <v>2</v>
      </c>
      <c r="K43" s="17" t="n">
        <v>2</v>
      </c>
      <c r="L43" s="17" t="n">
        <v>2</v>
      </c>
      <c r="M43" s="17"/>
      <c r="N43" s="17" t="n">
        <f aca="false">SUM(G43:M43)</f>
        <v>9</v>
      </c>
      <c r="O43" s="17" t="s">
        <v>56</v>
      </c>
      <c r="P43" s="17" t="n">
        <v>4</v>
      </c>
      <c r="Q43" s="17" t="n">
        <f aca="false">N43*P43</f>
        <v>36</v>
      </c>
      <c r="R43" s="17" t="n">
        <f aca="false">Q43*D43</f>
        <v>2196</v>
      </c>
      <c r="S43" s="18" t="n">
        <f aca="false">SUMPRODUCT(G43:M43,$G$5:$M$5)*P43+IFERROR(INDEX($Q$5:$T$5,MATCH(C43,$Q$4:$T$4,0)),0)</f>
        <v>8.83</v>
      </c>
      <c r="T43" s="18" t="n">
        <f aca="false">S43-$Q$6</f>
        <v>8.41</v>
      </c>
    </row>
    <row r="44" customFormat="false" ht="15" hidden="false" customHeight="false" outlineLevel="0" collapsed="false">
      <c r="A44" s="17" t="n">
        <f aca="false">B43+1</f>
        <v>124</v>
      </c>
      <c r="B44" s="17" t="n">
        <f aca="false">A44+D44-1</f>
        <v>124</v>
      </c>
      <c r="C44" s="17" t="s">
        <v>11</v>
      </c>
      <c r="D44" s="17" t="n">
        <v>1</v>
      </c>
      <c r="E44" s="17"/>
      <c r="F44" s="17"/>
      <c r="G44" s="17" t="n">
        <v>1</v>
      </c>
      <c r="H44" s="17" t="n">
        <v>1</v>
      </c>
      <c r="I44" s="17" t="n">
        <v>1</v>
      </c>
      <c r="J44" s="17" t="n">
        <v>2</v>
      </c>
      <c r="K44" s="17" t="n">
        <v>2</v>
      </c>
      <c r="L44" s="17" t="n">
        <v>2</v>
      </c>
      <c r="M44" s="17"/>
      <c r="N44" s="17" t="n">
        <f aca="false">SUM(G44:M44)</f>
        <v>9</v>
      </c>
      <c r="O44" s="17" t="s">
        <v>56</v>
      </c>
      <c r="P44" s="17" t="n">
        <v>3</v>
      </c>
      <c r="Q44" s="17" t="n">
        <f aca="false">N44*P44</f>
        <v>27</v>
      </c>
      <c r="R44" s="17" t="n">
        <f aca="false">Q44*D44</f>
        <v>27</v>
      </c>
      <c r="S44" s="18" t="n">
        <f aca="false">SUMPRODUCT(G44:M44,$G$5:$M$5)*P44+IFERROR(INDEX($Q$5:$T$5,MATCH(C44,$Q$4:$T$4,0)),0)</f>
        <v>6.8</v>
      </c>
      <c r="T44" s="18" t="n">
        <f aca="false">S44-$Q$6</f>
        <v>6.38</v>
      </c>
    </row>
    <row r="45" customFormat="false" ht="15" hidden="false" customHeight="false" outlineLevel="0" collapsed="false">
      <c r="A45" s="19" t="s">
        <v>57</v>
      </c>
      <c r="B45" s="19"/>
      <c r="C45" s="19"/>
      <c r="D45" s="19" t="n">
        <f aca="false">SUM(D43:D44)</f>
        <v>62</v>
      </c>
      <c r="E45" s="19" t="s">
        <v>58</v>
      </c>
      <c r="F45" s="19"/>
      <c r="G45" s="19" t="n">
        <f aca="false">SUMPRODUCT(G43:G44,P43:P44,D43:D44)</f>
        <v>247</v>
      </c>
      <c r="H45" s="19" t="n">
        <f aca="false">SUMPRODUCT(H43:H44,P43:P44,D43:D44)</f>
        <v>247</v>
      </c>
      <c r="I45" s="19" t="n">
        <f aca="false">SUMPRODUCT(I43:I44,P43:P44,D43:D44)</f>
        <v>247</v>
      </c>
      <c r="J45" s="19" t="n">
        <f aca="false">SUMPRODUCT(J43:J44,P43:P44,D43:D44)</f>
        <v>494</v>
      </c>
      <c r="K45" s="19" t="n">
        <f aca="false">SUMPRODUCT(K43:K44,P43:P44,D43:D44)</f>
        <v>494</v>
      </c>
      <c r="L45" s="19" t="n">
        <f aca="false">SUMPRODUCT(L43:L44,P43:P44,D43:D44)</f>
        <v>494</v>
      </c>
      <c r="M45" s="19"/>
      <c r="N45" s="19"/>
      <c r="O45" s="19"/>
      <c r="P45" s="19"/>
      <c r="Q45" s="19"/>
      <c r="R45" s="19" t="n">
        <f aca="false">SUM(R43:R44)</f>
        <v>2223</v>
      </c>
      <c r="S45" s="19" t="s">
        <v>59</v>
      </c>
      <c r="T45" s="19"/>
    </row>
  </sheetData>
  <mergeCells count="76">
    <mergeCell ref="A1:T1"/>
    <mergeCell ref="A2:T2"/>
    <mergeCell ref="N4:P4"/>
    <mergeCell ref="N5:P5"/>
    <mergeCell ref="N6:P6"/>
    <mergeCell ref="D7:E7"/>
    <mergeCell ref="A9:T9"/>
    <mergeCell ref="A10:B10"/>
    <mergeCell ref="D10:H10"/>
    <mergeCell ref="A11:B11"/>
    <mergeCell ref="D11:H11"/>
    <mergeCell ref="A12:B12"/>
    <mergeCell ref="D12:H12"/>
    <mergeCell ref="A13:B13"/>
    <mergeCell ref="D13:H13"/>
    <mergeCell ref="K13:L13"/>
    <mergeCell ref="N13:Q13"/>
    <mergeCell ref="A14:B14"/>
    <mergeCell ref="D14:H14"/>
    <mergeCell ref="K14:L14"/>
    <mergeCell ref="N14:Q14"/>
    <mergeCell ref="A15:B15"/>
    <mergeCell ref="D15:H15"/>
    <mergeCell ref="K15:L15"/>
    <mergeCell ref="N15:Q15"/>
    <mergeCell ref="A16:B16"/>
    <mergeCell ref="D16:H16"/>
    <mergeCell ref="K16:L16"/>
    <mergeCell ref="N16:Q16"/>
    <mergeCell ref="A17:B17"/>
    <mergeCell ref="D17:H17"/>
    <mergeCell ref="A18:B18"/>
    <mergeCell ref="D18:H18"/>
    <mergeCell ref="A19:B19"/>
    <mergeCell ref="D19:H19"/>
    <mergeCell ref="A20:B20"/>
    <mergeCell ref="D20:H20"/>
    <mergeCell ref="A21:B21"/>
    <mergeCell ref="D21:H21"/>
    <mergeCell ref="G22:M22"/>
    <mergeCell ref="N22:P23"/>
    <mergeCell ref="A28:T28"/>
    <mergeCell ref="A29:B29"/>
    <mergeCell ref="D29:H29"/>
    <mergeCell ref="A30:B30"/>
    <mergeCell ref="D30:H30"/>
    <mergeCell ref="A31:B31"/>
    <mergeCell ref="D31:H31"/>
    <mergeCell ref="A32:B32"/>
    <mergeCell ref="D32:H32"/>
    <mergeCell ref="K32:L32"/>
    <mergeCell ref="N32:Q32"/>
    <mergeCell ref="A33:B33"/>
    <mergeCell ref="D33:H33"/>
    <mergeCell ref="K33:L33"/>
    <mergeCell ref="N33:Q33"/>
    <mergeCell ref="A34:B34"/>
    <mergeCell ref="D34:H34"/>
    <mergeCell ref="K34:L34"/>
    <mergeCell ref="N34:Q34"/>
    <mergeCell ref="A35:B35"/>
    <mergeCell ref="D35:H35"/>
    <mergeCell ref="K35:L35"/>
    <mergeCell ref="N35:Q35"/>
    <mergeCell ref="A36:B36"/>
    <mergeCell ref="D36:H36"/>
    <mergeCell ref="A37:B37"/>
    <mergeCell ref="D37:H37"/>
    <mergeCell ref="A38:B38"/>
    <mergeCell ref="D38:H38"/>
    <mergeCell ref="A39:B39"/>
    <mergeCell ref="D39:H39"/>
    <mergeCell ref="A40:B40"/>
    <mergeCell ref="D40:H40"/>
    <mergeCell ref="G41:M41"/>
    <mergeCell ref="N41:P4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3:J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4"/>
    <col collapsed="false" customWidth="true" hidden="false" outlineLevel="0" max="3" min="3" style="0" width="10"/>
    <col collapsed="false" customWidth="true" hidden="false" outlineLevel="0" max="4" min="4" style="0" width="20"/>
    <col collapsed="false" customWidth="true" hidden="false" outlineLevel="0" max="6" min="5" style="0" width="12"/>
    <col collapsed="false" customWidth="true" hidden="false" outlineLevel="0" max="10" min="7" style="0" width="10"/>
  </cols>
  <sheetData>
    <row r="3" customFormat="false" ht="16.15" hidden="false" customHeight="false" outlineLevel="0" collapsed="false">
      <c r="A3" s="2" t="s">
        <v>62</v>
      </c>
      <c r="B3" s="2"/>
      <c r="C3" s="2"/>
      <c r="D3" s="2"/>
      <c r="E3" s="2"/>
      <c r="F3" s="2"/>
      <c r="G3" s="2"/>
      <c r="H3" s="2"/>
      <c r="I3" s="2"/>
      <c r="J3" s="2"/>
    </row>
    <row r="4" customFormat="false" ht="15" hidden="false" customHeight="false" outlineLevel="0" collapsed="false">
      <c r="A4" s="20" t="s">
        <v>63</v>
      </c>
      <c r="B4" s="20"/>
      <c r="C4" s="20"/>
      <c r="D4" s="20"/>
      <c r="E4" s="20"/>
      <c r="F4" s="20"/>
      <c r="G4" s="20"/>
      <c r="H4" s="20"/>
      <c r="I4" s="20"/>
      <c r="J4" s="20"/>
    </row>
    <row r="5" customFormat="false" ht="15" hidden="false" customHeight="false" outlineLevel="0" collapsed="false">
      <c r="A5" s="21" t="s">
        <v>64</v>
      </c>
      <c r="B5" s="21"/>
      <c r="C5" s="21"/>
      <c r="D5" s="21"/>
      <c r="E5" s="21"/>
      <c r="F5" s="21"/>
      <c r="G5" s="21"/>
      <c r="H5" s="21"/>
      <c r="I5" s="21"/>
      <c r="J5" s="21"/>
    </row>
    <row r="7" customFormat="false" ht="15" hidden="false" customHeight="false" outlineLevel="0" collapsed="false">
      <c r="A7" s="22" t="s">
        <v>23</v>
      </c>
      <c r="B7" s="23" t="s">
        <v>25</v>
      </c>
    </row>
    <row r="8" customFormat="false" ht="15" hidden="false" customHeight="false" outlineLevel="0" collapsed="false">
      <c r="A8" s="22" t="s">
        <v>26</v>
      </c>
      <c r="B8" s="23" t="s">
        <v>65</v>
      </c>
    </row>
    <row r="10" customFormat="false" ht="15" hidden="false" customHeight="false" outlineLevel="0" collapsed="false">
      <c r="A10" s="16" t="s">
        <v>66</v>
      </c>
      <c r="B10" s="16" t="s">
        <v>67</v>
      </c>
      <c r="C10" s="16" t="s">
        <v>68</v>
      </c>
      <c r="D10" s="16" t="s">
        <v>69</v>
      </c>
      <c r="E10" s="16" t="s">
        <v>70</v>
      </c>
      <c r="F10" s="16" t="s">
        <v>71</v>
      </c>
      <c r="G10" s="16" t="s">
        <v>72</v>
      </c>
      <c r="H10" s="16" t="s">
        <v>73</v>
      </c>
      <c r="I10" s="16" t="s">
        <v>74</v>
      </c>
      <c r="J10" s="16" t="s">
        <v>58</v>
      </c>
    </row>
    <row r="11" customFormat="false" ht="15" hidden="false" customHeight="false" outlineLevel="0" collapsed="false">
      <c r="A11" s="24" t="s">
        <v>75</v>
      </c>
      <c r="B11" s="24" t="s">
        <v>29</v>
      </c>
      <c r="C11" s="24" t="s">
        <v>76</v>
      </c>
      <c r="D11" s="24" t="s">
        <v>55</v>
      </c>
      <c r="E11" s="24" t="n">
        <v>2223</v>
      </c>
      <c r="F11" s="24" t="n">
        <f aca="false">PKL!R26</f>
        <v>2223</v>
      </c>
      <c r="G11" s="24" t="n">
        <f aca="false">MAX(F11-E11,0)</f>
        <v>0</v>
      </c>
      <c r="H11" s="24" t="n">
        <f aca="false">MAX(E11-F11,0)</f>
        <v>0</v>
      </c>
      <c r="I11" s="25" t="n">
        <f aca="false">IF(E11=0,0,(F11-E11)/E11)</f>
        <v>0</v>
      </c>
      <c r="J11" s="24" t="n">
        <f aca="false">PKL!D26</f>
        <v>62</v>
      </c>
    </row>
    <row r="12" customFormat="false" ht="15" hidden="false" customHeight="false" outlineLevel="0" collapsed="false">
      <c r="A12" s="24" t="s">
        <v>75</v>
      </c>
      <c r="B12" s="24" t="s">
        <v>29</v>
      </c>
      <c r="C12" s="24" t="s">
        <v>76</v>
      </c>
      <c r="D12" s="24" t="s">
        <v>61</v>
      </c>
      <c r="E12" s="24" t="n">
        <v>2223</v>
      </c>
      <c r="F12" s="24" t="n">
        <f aca="false">PKL!R45</f>
        <v>2223</v>
      </c>
      <c r="G12" s="24" t="n">
        <f aca="false">MAX(F12-E12,0)</f>
        <v>0</v>
      </c>
      <c r="H12" s="24" t="n">
        <f aca="false">MAX(E12-F12,0)</f>
        <v>0</v>
      </c>
      <c r="I12" s="25" t="n">
        <f aca="false">IF(E12=0,0,(F12-E12)/E12)</f>
        <v>0</v>
      </c>
      <c r="J12" s="24" t="n">
        <f aca="false">PKL!D45</f>
        <v>62</v>
      </c>
    </row>
    <row r="13" customFormat="false" ht="15" hidden="false" customHeight="false" outlineLevel="0" collapsed="false">
      <c r="A13" s="19"/>
      <c r="B13" s="19"/>
      <c r="C13" s="19"/>
      <c r="D13" s="19" t="s">
        <v>57</v>
      </c>
      <c r="E13" s="19" t="n">
        <f aca="false">SUM(E11:E12)</f>
        <v>4446</v>
      </c>
      <c r="F13" s="19" t="n">
        <f aca="false">SUM(F11:F12)</f>
        <v>4446</v>
      </c>
      <c r="G13" s="19" t="n">
        <f aca="false">SUM(G11:G12)</f>
        <v>0</v>
      </c>
      <c r="H13" s="19" t="n">
        <f aca="false">SUM(H11:H12)</f>
        <v>0</v>
      </c>
      <c r="I13" s="26" t="n">
        <f aca="false">IF(E13=0,0,(F13-E13)/E13)</f>
        <v>0</v>
      </c>
      <c r="J13" s="19" t="n">
        <f aca="false">SUM(J11:J12)</f>
        <v>124</v>
      </c>
    </row>
  </sheetData>
  <mergeCells count="3">
    <mergeCell ref="A3:J3"/>
    <mergeCell ref="A4:J4"/>
    <mergeCell ref="A5:J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2026-10-01T02:48:36Z</dcterms:created>
  <dc:creator>openpyxl</dc:creator>
  <dc:description/>
  <dc:language>en-US</dc:language>
  <cp:lastModifiedBy/>
  <dcterms:modified xsi:type="dcterms:W3CDTF">2026-10-01T02:48:36Z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