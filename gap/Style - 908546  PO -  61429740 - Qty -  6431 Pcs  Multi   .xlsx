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\.GAP\.Packing List\.2026\.908546\ok\"/>
    </mc:Choice>
  </mc:AlternateContent>
  <xr:revisionPtr revIDLastSave="0" documentId="13_ncr:1_{ECC13CF9-5FFA-455C-B458-21E6C281C2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KL." sheetId="3" r:id="rId1"/>
    <sheet name="sum" sheetId="2" r:id="rId2"/>
  </sheets>
  <definedNames>
    <definedName name="_xlnm.Print_Area" localSheetId="0">PKL.!$A$1:$T$136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" i="3" l="1"/>
  <c r="L115" i="3" l="1"/>
  <c r="Q114" i="3"/>
  <c r="S114" i="3" s="1"/>
  <c r="T114" i="3" s="1"/>
  <c r="S43" i="3"/>
  <c r="Q105" i="3"/>
  <c r="R114" i="3" l="1"/>
  <c r="Q112" i="3"/>
  <c r="Q82" i="3"/>
  <c r="Q63" i="3"/>
  <c r="S82" i="3" l="1"/>
  <c r="T82" i="3" s="1"/>
  <c r="S63" i="3"/>
  <c r="T63" i="3" s="1"/>
  <c r="R112" i="3"/>
  <c r="R82" i="3"/>
  <c r="H89" i="3" s="1"/>
  <c r="R63" i="3"/>
  <c r="H103" i="3"/>
  <c r="I103" i="3"/>
  <c r="J103" i="3"/>
  <c r="K103" i="3"/>
  <c r="L103" i="3"/>
  <c r="M103" i="3"/>
  <c r="G103" i="3"/>
  <c r="D92" i="3"/>
  <c r="R95" i="3" s="1"/>
  <c r="D115" i="3"/>
  <c r="D97" i="3" s="1"/>
  <c r="Q113" i="3"/>
  <c r="Q111" i="3"/>
  <c r="Q110" i="3"/>
  <c r="Q109" i="3"/>
  <c r="Q108" i="3"/>
  <c r="Q107" i="3"/>
  <c r="Q106" i="3"/>
  <c r="Q104" i="3"/>
  <c r="R104" i="3" l="1"/>
  <c r="G115" i="3" s="1"/>
  <c r="G127" i="3" s="1"/>
  <c r="S104" i="3"/>
  <c r="T104" i="3" s="1"/>
  <c r="R111" i="3"/>
  <c r="K115" i="3" s="1"/>
  <c r="K127" i="3" s="1"/>
  <c r="S111" i="3"/>
  <c r="T111" i="3" s="1"/>
  <c r="R109" i="3"/>
  <c r="S109" i="3"/>
  <c r="S106" i="3"/>
  <c r="T106" i="3" s="1"/>
  <c r="S110" i="3"/>
  <c r="T110" i="3" s="1"/>
  <c r="R107" i="3"/>
  <c r="S107" i="3"/>
  <c r="T107" i="3" s="1"/>
  <c r="R113" i="3"/>
  <c r="L127" i="3" s="1"/>
  <c r="S113" i="3"/>
  <c r="T109" i="3"/>
  <c r="R105" i="3"/>
  <c r="T113" i="3"/>
  <c r="R106" i="3"/>
  <c r="R108" i="3"/>
  <c r="R110" i="3"/>
  <c r="J115" i="3" s="1"/>
  <c r="J127" i="3" s="1"/>
  <c r="D68" i="3"/>
  <c r="D91" i="3" s="1"/>
  <c r="D69" i="3"/>
  <c r="I115" i="3" l="1"/>
  <c r="I127" i="3" s="1"/>
  <c r="H115" i="3"/>
  <c r="H127" i="3" s="1"/>
  <c r="R115" i="3"/>
  <c r="D95" i="3" s="1"/>
  <c r="D96" i="3" s="1"/>
  <c r="Q62" i="3"/>
  <c r="Q64" i="3"/>
  <c r="Q61" i="3"/>
  <c r="S61" i="3" s="1"/>
  <c r="D45" i="3"/>
  <c r="D26" i="3"/>
  <c r="N44" i="3"/>
  <c r="Q44" i="3" s="1"/>
  <c r="R44" i="3" s="1"/>
  <c r="N25" i="3"/>
  <c r="Q25" i="3" s="1"/>
  <c r="R25" i="3" s="1"/>
  <c r="N24" i="3"/>
  <c r="K133" i="3"/>
  <c r="K132" i="3"/>
  <c r="K125" i="3"/>
  <c r="K118" i="3"/>
  <c r="K80" i="3"/>
  <c r="K60" i="3"/>
  <c r="K42" i="3"/>
  <c r="K23" i="3"/>
  <c r="K6" i="3"/>
  <c r="S112" i="3" s="1"/>
  <c r="T112" i="3" s="1"/>
  <c r="Q83" i="3" l="1"/>
  <c r="S83" i="3" s="1"/>
  <c r="T83" i="3" s="1"/>
  <c r="Q84" i="3"/>
  <c r="S84" i="3" s="1"/>
  <c r="Q85" i="3"/>
  <c r="S85" i="3" s="1"/>
  <c r="T85" i="3" s="1"/>
  <c r="Q86" i="3"/>
  <c r="S86" i="3" s="1"/>
  <c r="Q87" i="3"/>
  <c r="S87" i="3" s="1"/>
  <c r="T87" i="3" s="1"/>
  <c r="Q88" i="3"/>
  <c r="Q81" i="3"/>
  <c r="S81" i="3" s="1"/>
  <c r="T81" i="3" s="1"/>
  <c r="E61" i="3"/>
  <c r="H133" i="3"/>
  <c r="I133" i="3"/>
  <c r="J133" i="3"/>
  <c r="L133" i="3"/>
  <c r="G133" i="3"/>
  <c r="H125" i="3"/>
  <c r="I125" i="3"/>
  <c r="J125" i="3"/>
  <c r="L125" i="3"/>
  <c r="M125" i="3"/>
  <c r="G125" i="3"/>
  <c r="H132" i="3"/>
  <c r="I132" i="3"/>
  <c r="J132" i="3"/>
  <c r="L132" i="3"/>
  <c r="M132" i="3"/>
  <c r="G132" i="3"/>
  <c r="R126" i="3"/>
  <c r="H80" i="3"/>
  <c r="I80" i="3"/>
  <c r="J80" i="3"/>
  <c r="L80" i="3"/>
  <c r="M80" i="3"/>
  <c r="G80" i="3"/>
  <c r="D89" i="3"/>
  <c r="D74" i="3" s="1"/>
  <c r="R72" i="3"/>
  <c r="H42" i="3"/>
  <c r="I42" i="3"/>
  <c r="J42" i="3"/>
  <c r="L42" i="3"/>
  <c r="M42" i="3"/>
  <c r="G42" i="3"/>
  <c r="D29" i="3"/>
  <c r="D31" i="3"/>
  <c r="R32" i="3" s="1"/>
  <c r="D35" i="3"/>
  <c r="N43" i="3"/>
  <c r="Q43" i="3" s="1"/>
  <c r="R43" i="3" s="1"/>
  <c r="R33" i="3"/>
  <c r="D65" i="3"/>
  <c r="R45" i="3" l="1"/>
  <c r="D33" i="3" s="1"/>
  <c r="D34" i="3" s="1"/>
  <c r="S88" i="3"/>
  <c r="T88" i="3" s="1"/>
  <c r="H120" i="3"/>
  <c r="R86" i="3"/>
  <c r="R84" i="3"/>
  <c r="R133" i="3"/>
  <c r="T86" i="3"/>
  <c r="T84" i="3"/>
  <c r="R81" i="3"/>
  <c r="G89" i="3" s="1"/>
  <c r="G120" i="3" s="1"/>
  <c r="R83" i="3"/>
  <c r="R85" i="3"/>
  <c r="R87" i="3"/>
  <c r="R88" i="3"/>
  <c r="L89" i="3" s="1"/>
  <c r="K89" i="3" l="1"/>
  <c r="K120" i="3" s="1"/>
  <c r="J89" i="3"/>
  <c r="J120" i="3" s="1"/>
  <c r="L120" i="3"/>
  <c r="I89" i="3"/>
  <c r="I120" i="3" s="1"/>
  <c r="K128" i="3"/>
  <c r="K129" i="3" s="1"/>
  <c r="R89" i="3"/>
  <c r="D72" i="3" s="1"/>
  <c r="D73" i="3" s="1"/>
  <c r="I118" i="3"/>
  <c r="I60" i="3"/>
  <c r="I23" i="3"/>
  <c r="I6" i="3"/>
  <c r="S108" i="3" s="1"/>
  <c r="T108" i="3" s="1"/>
  <c r="H118" i="3"/>
  <c r="H60" i="3"/>
  <c r="H23" i="3"/>
  <c r="H6" i="3"/>
  <c r="F13" i="2"/>
  <c r="G13" i="2"/>
  <c r="E13" i="2"/>
  <c r="J13" i="2"/>
  <c r="K121" i="3" l="1"/>
  <c r="K122" i="3" s="1"/>
  <c r="K134" i="3"/>
  <c r="K135" i="3" s="1"/>
  <c r="K136" i="3" s="1"/>
  <c r="I134" i="3"/>
  <c r="G134" i="3"/>
  <c r="J134" i="3"/>
  <c r="L134" i="3"/>
  <c r="L135" i="3" s="1"/>
  <c r="L136" i="3" s="1"/>
  <c r="H134" i="3"/>
  <c r="G12" i="2"/>
  <c r="I12" i="2" s="1"/>
  <c r="S64" i="3" l="1"/>
  <c r="T64" i="3" s="1"/>
  <c r="R64" i="3"/>
  <c r="I121" i="3"/>
  <c r="I122" i="3" s="1"/>
  <c r="J6" i="3"/>
  <c r="L6" i="3"/>
  <c r="M6" i="3"/>
  <c r="J135" i="3" l="1"/>
  <c r="J136" i="3" s="1"/>
  <c r="H121" i="3"/>
  <c r="H122" i="3" s="1"/>
  <c r="I135" i="3"/>
  <c r="I136" i="3" s="1"/>
  <c r="I128" i="3"/>
  <c r="I129" i="3" s="1"/>
  <c r="H135" i="3" l="1"/>
  <c r="H136" i="3" s="1"/>
  <c r="H128" i="3"/>
  <c r="H129" i="3" s="1"/>
  <c r="S62" i="3" l="1"/>
  <c r="R61" i="3" l="1"/>
  <c r="T62" i="3" l="1"/>
  <c r="R62" i="3" l="1"/>
  <c r="B7" i="2"/>
  <c r="R65" i="3" l="1"/>
  <c r="H13" i="2"/>
  <c r="R134" i="3" l="1"/>
  <c r="G135" i="3"/>
  <c r="J23" i="3"/>
  <c r="L23" i="3"/>
  <c r="M23" i="3"/>
  <c r="G23" i="3"/>
  <c r="R135" i="3" l="1"/>
  <c r="R136" i="3" s="1"/>
  <c r="G136" i="3"/>
  <c r="T43" i="3"/>
  <c r="T24" i="3" l="1"/>
  <c r="J60" i="3" l="1"/>
  <c r="L60" i="3"/>
  <c r="M60" i="3"/>
  <c r="G60" i="3"/>
  <c r="R14" i="3"/>
  <c r="J118" i="3" l="1"/>
  <c r="L118" i="3"/>
  <c r="M118" i="3"/>
  <c r="G118" i="3"/>
  <c r="Q24" i="3" l="1"/>
  <c r="R24" i="3" s="1"/>
  <c r="R26" i="3" l="1"/>
  <c r="D14" i="3" s="1"/>
  <c r="J121" i="3"/>
  <c r="J122" i="3" s="1"/>
  <c r="J128" i="3" s="1"/>
  <c r="J129" i="3" s="1"/>
  <c r="L121" i="3" l="1"/>
  <c r="L122" i="3" s="1"/>
  <c r="L128" i="3" s="1"/>
  <c r="L129" i="3" s="1"/>
  <c r="D49" i="3" l="1"/>
  <c r="R52" i="3" l="1"/>
  <c r="D50" i="3"/>
  <c r="D70" i="3" l="1"/>
  <c r="G6" i="3"/>
  <c r="S44" i="3" l="1"/>
  <c r="T44" i="3" s="1"/>
  <c r="S25" i="3"/>
  <c r="S105" i="3"/>
  <c r="T105" i="3" s="1"/>
  <c r="R71" i="3"/>
  <c r="D93" i="3"/>
  <c r="R94" i="3" s="1"/>
  <c r="T25" i="3"/>
  <c r="D48" i="3"/>
  <c r="T61" i="3" l="1"/>
  <c r="B24" i="3" l="1"/>
  <c r="R13" i="3"/>
  <c r="B25" i="3" l="1"/>
  <c r="A25" i="3"/>
  <c r="D54" i="3"/>
  <c r="D16" i="3"/>
  <c r="B43" i="3" l="1"/>
  <c r="B44" i="3" s="1"/>
  <c r="A43" i="3"/>
  <c r="R120" i="3"/>
  <c r="R51" i="3"/>
  <c r="A44" i="3" l="1"/>
  <c r="B61" i="3"/>
  <c r="A61" i="3"/>
  <c r="D15" i="3"/>
  <c r="D52" i="3"/>
  <c r="A62" i="3" l="1"/>
  <c r="B62" i="3"/>
  <c r="D53" i="3"/>
  <c r="G121" i="3"/>
  <c r="G122" i="3" s="1"/>
  <c r="R119" i="3"/>
  <c r="I13" i="2" s="1"/>
  <c r="A63" i="3" l="1"/>
  <c r="B63" i="3"/>
  <c r="R127" i="3"/>
  <c r="G128" i="3"/>
  <c r="R121" i="3"/>
  <c r="B64" i="3" l="1"/>
  <c r="A64" i="3"/>
  <c r="R128" i="3"/>
  <c r="R129" i="3" s="1"/>
  <c r="G129" i="3"/>
  <c r="G11" i="2"/>
  <c r="R122" i="3"/>
  <c r="B81" i="3" l="1"/>
  <c r="A81" i="3"/>
  <c r="I11" i="2"/>
  <c r="A82" i="3" l="1"/>
  <c r="B82" i="3"/>
  <c r="A83" i="3" l="1"/>
  <c r="B83" i="3"/>
  <c r="B84" i="3" l="1"/>
  <c r="A84" i="3"/>
  <c r="A85" i="3" l="1"/>
  <c r="B85" i="3"/>
  <c r="A86" i="3" l="1"/>
  <c r="B86" i="3"/>
  <c r="A87" i="3" l="1"/>
  <c r="B87" i="3"/>
  <c r="A88" i="3" l="1"/>
  <c r="B88" i="3"/>
  <c r="B104" i="3" l="1"/>
  <c r="A104" i="3"/>
  <c r="B105" i="3" l="1"/>
  <c r="A105" i="3"/>
  <c r="B106" i="3" l="1"/>
  <c r="A106" i="3"/>
  <c r="A107" i="3" l="1"/>
  <c r="B107" i="3"/>
  <c r="B108" i="3" l="1"/>
  <c r="A108" i="3"/>
  <c r="A109" i="3" l="1"/>
  <c r="B109" i="3"/>
  <c r="B110" i="3" l="1"/>
  <c r="A110" i="3"/>
  <c r="A111" i="3" l="1"/>
  <c r="B111" i="3"/>
  <c r="B112" i="3" l="1"/>
  <c r="A112" i="3"/>
  <c r="A113" i="3" l="1"/>
  <c r="B113" i="3"/>
  <c r="B114" i="3" l="1"/>
  <c r="A114" i="3"/>
</calcChain>
</file>

<file path=xl/sharedStrings.xml><?xml version="1.0" encoding="utf-8"?>
<sst xmlns="http://schemas.openxmlformats.org/spreadsheetml/2006/main" count="330" uniqueCount="112">
  <si>
    <t xml:space="preserve">BUYER             : </t>
  </si>
  <si>
    <t>STYLE             :</t>
  </si>
  <si>
    <t>P. O. #             :</t>
  </si>
  <si>
    <t>O/QTY              :</t>
  </si>
  <si>
    <t>PCS</t>
  </si>
  <si>
    <t>SHIP QTY         :</t>
  </si>
  <si>
    <t>SKU / Item</t>
  </si>
  <si>
    <t>EX/SHORT       :</t>
  </si>
  <si>
    <t>80/40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</si>
  <si>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</si>
  <si>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</si>
  <si>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</si>
  <si>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</si>
  <si>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</si>
  <si>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</si>
  <si>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</si>
  <si>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</si>
  <si>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</si>
  <si>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</si>
  <si>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</si>
  <si>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</si>
  <si>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</si>
  <si>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</si>
  <si>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</si>
  <si>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</si>
  <si>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</si>
  <si>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</si>
  <si>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</si>
  <si>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</si>
  <si>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</si>
  <si>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</si>
  <si>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</si>
  <si>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</si>
  <si>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</si>
  <si>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</si>
  <si>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</si>
  <si>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</si>
  <si>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</si>
  <si>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</si>
  <si>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</si>
  <si>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</si>
  <si>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</si>
  <si>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</si>
  <si>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</si>
  <si>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</si>
  <si>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</si>
  <si>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</si>
  <si>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</si>
  <si>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</si>
  <si>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</si>
  <si>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</si>
  <si>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</si>
  <si>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</si>
  <si>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</si>
  <si>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</si>
  <si>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</si>
  <si>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</si>
  <si>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</si>
  <si>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MES:</t>
  </si>
  <si>
    <t>SEASON</t>
  </si>
  <si>
    <t xml:space="preserve">Unit / Prepack      </t>
  </si>
  <si>
    <t xml:space="preserve"> PER BLST</t>
  </si>
  <si>
    <t>X</t>
  </si>
  <si>
    <t>FA AUDITOR</t>
  </si>
  <si>
    <t>58.67 X 38.48 X 29.71 CM.G8_SL</t>
  </si>
  <si>
    <t>58.67 X 38.48 X 14.86 CM.G8S_SL</t>
  </si>
  <si>
    <t>38.48 X 29.33 X 14.86 CM.G-8M</t>
  </si>
  <si>
    <t>N.W</t>
  </si>
  <si>
    <t>N.N.W</t>
  </si>
  <si>
    <t>EMPTY CTN WET</t>
  </si>
  <si>
    <t>184/23</t>
  </si>
  <si>
    <t xml:space="preserve">    CREATIVE COLLECTIONS LTD-1A.</t>
  </si>
  <si>
    <t>CREATIVE COLLECTIONS LIMITED (UNIT-1A)</t>
  </si>
  <si>
    <t>N.WT</t>
  </si>
  <si>
    <t>N.N. WT</t>
  </si>
  <si>
    <t>FM</t>
  </si>
  <si>
    <t>29.33 X 19.25 X 14.86 CM.G-8XS</t>
  </si>
  <si>
    <t>55.88 X 38.1 X 15.24 CM G13</t>
  </si>
  <si>
    <r>
      <t xml:space="preserve">PO </t>
    </r>
    <r>
      <rPr>
        <b/>
        <i/>
        <sz val="12"/>
        <rFont val="Arial"/>
        <family val="2"/>
      </rPr>
      <t xml:space="preserve"># </t>
    </r>
  </si>
  <si>
    <t>OLD NAVY</t>
  </si>
  <si>
    <t xml:space="preserve">BULK PACK </t>
  </si>
  <si>
    <t>G84</t>
  </si>
  <si>
    <t>G81</t>
  </si>
  <si>
    <t>G82</t>
  </si>
  <si>
    <t>HANNAH</t>
  </si>
  <si>
    <t>61194786</t>
  </si>
  <si>
    <t>''</t>
  </si>
  <si>
    <t>Sum'26</t>
  </si>
  <si>
    <t>BDC</t>
  </si>
  <si>
    <t>CANADA</t>
  </si>
  <si>
    <t>01/02/2026</t>
  </si>
  <si>
    <t>G85</t>
  </si>
  <si>
    <t>G. Total Summery</t>
  </si>
  <si>
    <t>12-18M</t>
  </si>
  <si>
    <t>18-24M</t>
  </si>
  <si>
    <t>2T</t>
  </si>
  <si>
    <t>3T</t>
  </si>
  <si>
    <t>4T</t>
  </si>
  <si>
    <t>5T</t>
  </si>
  <si>
    <t>6T</t>
  </si>
  <si>
    <t>ESPRESSO BARK</t>
  </si>
  <si>
    <t>IN THE NAVY</t>
  </si>
  <si>
    <t>MULTY PACK ( N )</t>
  </si>
  <si>
    <t>908546-01-1</t>
  </si>
  <si>
    <t>908546-00-1</t>
  </si>
  <si>
    <t xml:space="preserve">Single PACK </t>
  </si>
  <si>
    <t>144 of 177</t>
  </si>
  <si>
    <t>129 of 177</t>
  </si>
  <si>
    <t>125 of 177</t>
  </si>
  <si>
    <t>63 of 177</t>
  </si>
  <si>
    <t>01 of 177</t>
  </si>
  <si>
    <t>G814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</si>
</sst>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name val="Vrinda"/>
      <family val="1"/>
      <scheme val="major"/>
    </font>
    <font>
      <b/>
      <sz val="14"/>
      <name val="Arial"/>
      <family val="2"/>
    </font>
    <font>
      <sz val="11"/>
      <name val="Arial"/>
      <family val="2"/>
    </font>
    <font>
      <b/>
      <sz val="11"/>
      <name val="Vrinda"/>
      <family val="1"/>
      <scheme val="major"/>
    </font>
    <font>
      <b/>
      <sz val="12"/>
      <name val="Vrinda"/>
      <family val="1"/>
      <scheme val="major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i/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Helvetica"/>
    </font>
    <font>
      <b/>
      <sz val="6"/>
      <color rgb="FF000000"/>
      <name val="Helvetic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2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10" fontId="13" fillId="0" borderId="36" xfId="0" applyNumberFormat="1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/>
    </xf>
    <xf numFmtId="0" fontId="8" fillId="3" borderId="42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vertical="center"/>
    </xf>
    <xf numFmtId="0" fontId="8" fillId="3" borderId="45" xfId="0" applyFont="1" applyFill="1" applyBorder="1" applyAlignment="1">
      <alignment horizontal="center" vertical="center" wrapText="1"/>
    </xf>
    <xf numFmtId="0" fontId="1" fillId="4" borderId="64" xfId="0" applyFont="1" applyFill="1" applyBorder="1" applyAlignment="1">
      <alignment vertical="center"/>
    </xf>
    <xf numFmtId="0" fontId="1" fillId="4" borderId="65" xfId="0" applyFont="1" applyFill="1" applyBorder="1" applyAlignment="1">
      <alignment vertical="center"/>
    </xf>
    <xf numFmtId="0" fontId="8" fillId="4" borderId="66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0" fontId="8" fillId="4" borderId="66" xfId="1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vertical="center"/>
    </xf>
    <xf numFmtId="0" fontId="6" fillId="2" borderId="37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1" fillId="2" borderId="3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2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18" fillId="2" borderId="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/>
    <xf numFmtId="0" fontId="9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2" fontId="6" fillId="2" borderId="30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left"/>
    </xf>
    <xf numFmtId="0" fontId="1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2" fontId="1" fillId="2" borderId="1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right"/>
    </xf>
    <xf numFmtId="0" fontId="1" fillId="2" borderId="38" xfId="0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2" fontId="1" fillId="2" borderId="18" xfId="0" applyNumberFormat="1" applyFont="1" applyFill="1" applyBorder="1" applyAlignment="1">
      <alignment horizontal="center" vertical="center" wrapText="1"/>
    </xf>
    <xf numFmtId="2" fontId="1" fillId="2" borderId="26" xfId="0" applyNumberFormat="1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8" fillId="2" borderId="6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49" fontId="8" fillId="2" borderId="1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2" fontId="8" fillId="2" borderId="18" xfId="0" applyNumberFormat="1" applyFont="1" applyFill="1" applyBorder="1" applyAlignment="1">
      <alignment horizontal="center" vertical="center" wrapText="1"/>
    </xf>
    <xf numFmtId="2" fontId="8" fillId="2" borderId="26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21" fillId="2" borderId="0" xfId="0" applyFont="1" applyFill="1"/>
    <xf numFmtId="0" fontId="22" fillId="2" borderId="0" xfId="0" applyFont="1" applyFill="1"/>
    <xf numFmtId="2" fontId="6" fillId="2" borderId="10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13" fillId="0" borderId="18" xfId="0" quotePrefix="1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/>
    </xf>
    <xf numFmtId="0" fontId="12" fillId="2" borderId="24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164" fontId="11" fillId="2" borderId="18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1" fontId="6" fillId="2" borderId="0" xfId="0" applyNumberFormat="1" applyFont="1" applyFill="1" applyAlignment="1">
      <alignment horizontal="left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1" fontId="6" fillId="2" borderId="0" xfId="0" applyNumberFormat="1" applyFont="1" applyFill="1" applyAlignment="1">
      <alignment horizontal="left"/>
    </xf>
    <xf numFmtId="1" fontId="6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4" fillId="2" borderId="15" xfId="0" applyFont="1" applyFill="1" applyBorder="1" applyAlignment="1">
      <alignment horizontal="center" vertical="center"/>
    </xf>
    <xf numFmtId="49" fontId="6" fillId="5" borderId="19" xfId="0" applyNumberFormat="1" applyFont="1" applyFill="1" applyBorder="1" applyAlignment="1">
      <alignment horizontal="center" vertical="center"/>
    </xf>
    <xf numFmtId="49" fontId="6" fillId="5" borderId="2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246529</xdr:colOff>
      <xdr:row>24</xdr:row>
      <xdr:rowOff>224116</xdr:rowOff>
    </xdr:from>
    <xdr:to>
      <xdr:col>25</xdr:col>
      <xdr:colOff>50261</xdr:colOff>
      <xdr:row>41</xdr:row>
      <xdr:rowOff>186516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8981BC-C384-445C-97B4-5A3350BAB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45470" y="5602940"/>
          <a:ext cx="2829320" cy="3581900"/>
        </a:xfrm>
        <a:prstGeom prst="rect">
          <a:avLst/>
        </a:prstGeom>
      </xdr:spPr>
    </xdr:pic>
    <xdr:clientData/>
  </xdr:twoCellAnchor>
  <xdr:twoCellAnchor editAs="oneCell">
    <xdr:from>
      <xdr:col>20</xdr:col>
      <xdr:colOff>414617</xdr:colOff>
      <xdr:row>56</xdr:row>
      <xdr:rowOff>123266</xdr:rowOff>
    </xdr:from>
    <xdr:to>
      <xdr:col>25</xdr:col>
      <xdr:colOff>104033</xdr:colOff>
      <xdr:row>64</xdr:row>
      <xdr:rowOff>12077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BBFFB2-E536-49EA-A979-1FF40739D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3558" y="12662648"/>
          <a:ext cx="2715004" cy="2219635"/>
        </a:xfrm>
        <a:prstGeom prst="rect">
          <a:avLst/>
        </a:prstGeom>
      </xdr:spPr>
    </xdr:pic>
    <xdr:clientData/>
  </xdr:twoCellAnchor>
  <xdr:twoCellAnchor editAs="oneCell">
    <xdr:from>
      <xdr:col>21</xdr:col>
      <xdr:colOff>89647</xdr:colOff>
      <xdr:row>102</xdr:row>
      <xdr:rowOff>100853</xdr:rowOff>
    </xdr:from>
    <xdr:to>
      <xdr:col>27</xdr:col>
      <xdr:colOff>545736</xdr:colOff>
      <xdr:row>110</xdr:row>
      <xdr:rowOff>63697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7DF1F-BAD2-40B4-B84F-87FC5874D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93706" y="24103853"/>
          <a:ext cx="4086795" cy="2753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6"/>
  <sheetViews>
    <sheetView tabSelected="1" view="pageBreakPreview" zoomScale="85" zoomScaleSheetLayoutView="85" workbookViewId="0">
      <pane ySplit="5" topLeftCell="A6" activePane="bottomLeft" state="frozen"/>
      <selection pane="bottomLeft" activeCell="I6" sqref="I6"/>
    </sheetView>
  </sheetViews>
  <sheetFormatPr defaultRowHeight="12.75" x14ac:dyDescent="0.2"/>
  <cols>
    <col min="1" max="1" width="6.28515625" style="110" customWidth="1"/>
    <col min="2" max="2" width="7.5703125" style="110" customWidth="1"/>
    <col min="3" max="3" width="7.85546875" style="110" customWidth="1"/>
    <col min="4" max="4" width="7.5703125" style="110" customWidth="1"/>
    <col min="5" max="5" width="12.5703125" style="110" customWidth="1"/>
    <col min="6" max="6" width="17" style="110" customWidth="1"/>
    <col min="7" max="13" width="10.42578125" style="110" customWidth="1"/>
    <col min="14" max="14" width="7" style="110" bestFit="1" customWidth="1"/>
    <col min="15" max="15" width="2.85546875" style="110" customWidth="1"/>
    <col min="16" max="16" width="4.85546875" style="110" customWidth="1"/>
    <col min="17" max="17" width="5.5703125" style="110" customWidth="1"/>
    <col min="18" max="18" width="9.42578125" style="110" customWidth="1"/>
    <col min="19" max="19" width="6.7109375" style="110" customWidth="1"/>
    <col min="20" max="20" width="7.140625" style="110" customWidth="1"/>
    <col min="21" max="16384" width="9.140625" style="110"/>
  </cols>
  <sheetData>
    <row r="1" spans="1:20" ht="23.25" x14ac:dyDescent="0.35">
      <c r="A1" s="210" t="s">
        <v>71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</row>
    <row r="2" spans="1:20" ht="16.7" customHeight="1" x14ac:dyDescent="0.25">
      <c r="A2" s="211" t="s">
        <v>28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</row>
    <row r="3" spans="1:20" ht="16.7" customHeight="1" x14ac:dyDescent="0.2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spans="1:20" ht="16.7" customHeight="1" x14ac:dyDescent="0.2">
      <c r="A4" s="90"/>
      <c r="B4" s="90"/>
      <c r="C4" s="90"/>
      <c r="D4" s="104" t="s">
        <v>17</v>
      </c>
      <c r="E4" s="104"/>
      <c r="F4" s="78" t="s">
        <v>17</v>
      </c>
      <c r="G4" s="97" t="s">
        <v>93</v>
      </c>
      <c r="H4" s="97" t="s">
        <v>94</v>
      </c>
      <c r="I4" s="97" t="s">
        <v>95</v>
      </c>
      <c r="J4" s="97" t="s">
        <v>96</v>
      </c>
      <c r="K4" s="97" t="s">
        <v>97</v>
      </c>
      <c r="L4" s="97" t="s">
        <v>98</v>
      </c>
      <c r="M4" s="97" t="s">
        <v>99</v>
      </c>
      <c r="N4" s="81"/>
      <c r="O4" s="81"/>
      <c r="P4" s="81"/>
      <c r="Q4" s="90"/>
      <c r="R4" s="90"/>
      <c r="S4" s="90"/>
      <c r="T4" s="90"/>
    </row>
    <row r="5" spans="1:20" ht="16.7" customHeight="1" x14ac:dyDescent="0.2">
      <c r="A5" s="90"/>
      <c r="B5" s="90"/>
      <c r="C5" s="90"/>
      <c r="D5" s="104" t="s">
        <v>67</v>
      </c>
      <c r="E5" s="104"/>
      <c r="F5" s="78" t="s">
        <v>73</v>
      </c>
      <c r="G5" s="142">
        <v>0.17</v>
      </c>
      <c r="H5" s="142">
        <v>0.19</v>
      </c>
      <c r="I5" s="142">
        <v>0.21</v>
      </c>
      <c r="J5" s="142">
        <v>0.22</v>
      </c>
      <c r="K5" s="142">
        <v>0.25</v>
      </c>
      <c r="L5" s="142">
        <v>0.26</v>
      </c>
      <c r="M5" s="142">
        <v>0.28000000000000003</v>
      </c>
      <c r="N5" s="81"/>
      <c r="O5" s="81"/>
      <c r="P5" s="81"/>
      <c r="Q5" s="90"/>
      <c r="R5" s="90"/>
      <c r="S5" s="90"/>
      <c r="T5" s="90"/>
    </row>
    <row r="6" spans="1:20" ht="16.7" customHeight="1" x14ac:dyDescent="0.2">
      <c r="A6" s="90"/>
      <c r="B6" s="90"/>
      <c r="C6" s="90"/>
      <c r="D6" s="104" t="s">
        <v>68</v>
      </c>
      <c r="E6" s="104"/>
      <c r="F6" s="78" t="s">
        <v>74</v>
      </c>
      <c r="G6" s="111">
        <f t="shared" ref="G6:M6" si="0">+G5-0.02</f>
        <v>0.15000000000000002</v>
      </c>
      <c r="H6" s="111">
        <f t="shared" ref="H6:I6" si="1">+H5-0.02</f>
        <v>0.17</v>
      </c>
      <c r="I6" s="111">
        <f t="shared" si="1"/>
        <v>0.19</v>
      </c>
      <c r="J6" s="111">
        <f t="shared" si="0"/>
        <v>0.2</v>
      </c>
      <c r="K6" s="111">
        <f t="shared" ref="K6" si="2">+K5-0.02</f>
        <v>0.23</v>
      </c>
      <c r="L6" s="111">
        <f t="shared" si="0"/>
        <v>0.24000000000000002</v>
      </c>
      <c r="M6" s="111">
        <f t="shared" si="0"/>
        <v>0.26</v>
      </c>
      <c r="N6" s="81"/>
      <c r="O6" s="81"/>
      <c r="P6" s="81"/>
      <c r="Q6" s="90"/>
      <c r="R6" s="90"/>
      <c r="S6" s="90"/>
      <c r="T6" s="90"/>
    </row>
    <row r="7" spans="1:20" ht="16.7" customHeight="1" x14ac:dyDescent="0.2">
      <c r="A7" s="90"/>
      <c r="B7" s="90"/>
      <c r="C7" s="90"/>
      <c r="D7" s="212" t="s">
        <v>69</v>
      </c>
      <c r="E7" s="212"/>
      <c r="F7" s="84"/>
      <c r="G7" s="84"/>
      <c r="H7" s="84"/>
      <c r="I7" s="84"/>
      <c r="J7" s="84"/>
      <c r="K7" s="84"/>
      <c r="L7" s="84"/>
      <c r="M7" s="84"/>
      <c r="N7" s="71"/>
      <c r="O7" s="71"/>
      <c r="P7" s="71"/>
      <c r="Q7" s="90"/>
      <c r="R7" s="90"/>
      <c r="S7" s="90"/>
      <c r="T7" s="90"/>
    </row>
    <row r="8" spans="1:20" ht="16.7" customHeight="1" x14ac:dyDescent="0.2">
      <c r="A8" s="90"/>
      <c r="B8" s="90"/>
      <c r="C8" s="90"/>
      <c r="D8" s="99"/>
      <c r="E8" s="99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90"/>
      <c r="R8" s="90"/>
      <c r="S8" s="90"/>
      <c r="T8" s="90"/>
    </row>
    <row r="9" spans="1:20" ht="16.7" customHeight="1" x14ac:dyDescent="0.25">
      <c r="A9" s="194" t="s">
        <v>102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</row>
    <row r="10" spans="1:20" s="91" customFormat="1" ht="16.7" customHeight="1" x14ac:dyDescent="0.25">
      <c r="A10" s="101" t="s">
        <v>0</v>
      </c>
      <c r="B10" s="101"/>
      <c r="C10" s="101"/>
      <c r="D10" s="101" t="s">
        <v>79</v>
      </c>
      <c r="E10" s="102"/>
      <c r="F10" s="102"/>
      <c r="G10" s="102"/>
      <c r="H10" s="135"/>
      <c r="I10" s="135"/>
      <c r="J10" s="102"/>
      <c r="K10" s="146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s="91" customFormat="1" ht="16.7" customHeight="1" x14ac:dyDescent="0.25">
      <c r="A11" s="101" t="s">
        <v>1</v>
      </c>
      <c r="B11" s="101"/>
      <c r="C11" s="101"/>
      <c r="D11" s="195" t="s">
        <v>103</v>
      </c>
      <c r="E11" s="195"/>
      <c r="H11" s="92"/>
      <c r="I11" s="92"/>
      <c r="J11" s="92"/>
      <c r="N11" s="93"/>
      <c r="O11" s="93"/>
      <c r="P11" s="93"/>
      <c r="Q11" s="93"/>
      <c r="R11" s="93"/>
      <c r="S11" s="93"/>
    </row>
    <row r="12" spans="1:20" s="91" customFormat="1" ht="16.7" customHeight="1" x14ac:dyDescent="0.25">
      <c r="A12" s="101" t="s">
        <v>2</v>
      </c>
      <c r="B12" s="101"/>
      <c r="C12" s="101"/>
      <c r="D12" s="189">
        <v>61429740</v>
      </c>
      <c r="E12" s="189"/>
    </row>
    <row r="13" spans="1:20" s="91" customFormat="1" ht="16.7" customHeight="1" thickBot="1" x14ac:dyDescent="0.3">
      <c r="A13" s="101" t="s">
        <v>3</v>
      </c>
      <c r="B13" s="101"/>
      <c r="C13" s="101"/>
      <c r="D13" s="93">
        <v>2223</v>
      </c>
      <c r="E13" s="91" t="s">
        <v>4</v>
      </c>
      <c r="N13" s="91" t="s">
        <v>78</v>
      </c>
      <c r="R13" s="190">
        <f>D12</f>
        <v>61429740</v>
      </c>
      <c r="S13" s="190"/>
    </row>
    <row r="14" spans="1:20" s="91" customFormat="1" ht="16.7" customHeight="1" thickBot="1" x14ac:dyDescent="0.3">
      <c r="A14" s="101" t="s">
        <v>5</v>
      </c>
      <c r="B14" s="101"/>
      <c r="C14" s="101"/>
      <c r="D14" s="93">
        <f>+R26</f>
        <v>2223</v>
      </c>
      <c r="E14" s="91" t="s">
        <v>4</v>
      </c>
      <c r="N14" s="91" t="s">
        <v>6</v>
      </c>
      <c r="R14" s="196" t="str">
        <f>D11</f>
        <v>908546-01-1</v>
      </c>
      <c r="S14" s="197"/>
      <c r="T14" s="112"/>
    </row>
    <row r="15" spans="1:20" s="91" customFormat="1" ht="16.7" customHeight="1" thickBot="1" x14ac:dyDescent="0.3">
      <c r="A15" s="101" t="s">
        <v>7</v>
      </c>
      <c r="B15" s="101"/>
      <c r="C15" s="101"/>
      <c r="D15" s="93">
        <f>D14-D13</f>
        <v>0</v>
      </c>
      <c r="E15" s="91" t="s">
        <v>4</v>
      </c>
      <c r="N15" s="91" t="s">
        <v>60</v>
      </c>
      <c r="R15" s="197" t="s">
        <v>70</v>
      </c>
      <c r="S15" s="197"/>
      <c r="T15" s="112"/>
    </row>
    <row r="16" spans="1:20" s="91" customFormat="1" ht="16.7" customHeight="1" thickBot="1" x14ac:dyDescent="0.3">
      <c r="A16" s="101" t="s">
        <v>9</v>
      </c>
      <c r="B16" s="101"/>
      <c r="C16" s="101"/>
      <c r="D16" s="93">
        <f>D26</f>
        <v>62</v>
      </c>
      <c r="E16" s="91" t="s">
        <v>10</v>
      </c>
      <c r="N16" s="91" t="s">
        <v>11</v>
      </c>
      <c r="R16" s="197" t="s">
        <v>110</v>
      </c>
      <c r="S16" s="197"/>
    </row>
    <row r="17" spans="1:20" s="91" customFormat="1" ht="15" customHeight="1" x14ac:dyDescent="0.25">
      <c r="A17" s="101" t="s">
        <v>12</v>
      </c>
      <c r="B17" s="101"/>
      <c r="C17" s="101"/>
      <c r="D17" s="91" t="s">
        <v>64</v>
      </c>
    </row>
    <row r="18" spans="1:20" s="91" customFormat="1" ht="15" customHeight="1" x14ac:dyDescent="0.25">
      <c r="A18" s="101" t="s">
        <v>12</v>
      </c>
      <c r="B18" s="101"/>
      <c r="C18" s="101"/>
      <c r="D18" s="91" t="s">
        <v>65</v>
      </c>
    </row>
    <row r="19" spans="1:20" s="91" customFormat="1" ht="15" customHeight="1" x14ac:dyDescent="0.25">
      <c r="A19" s="101" t="s">
        <v>12</v>
      </c>
      <c r="B19" s="101"/>
      <c r="C19" s="101"/>
      <c r="D19" s="91" t="s">
        <v>66</v>
      </c>
    </row>
    <row r="20" spans="1:20" s="91" customFormat="1" ht="15" customHeight="1" x14ac:dyDescent="0.25">
      <c r="A20" s="101" t="s">
        <v>12</v>
      </c>
      <c r="B20" s="101"/>
      <c r="C20" s="101"/>
      <c r="D20" s="91" t="s">
        <v>76</v>
      </c>
    </row>
    <row r="21" spans="1:20" s="91" customFormat="1" ht="15" customHeight="1" thickBot="1" x14ac:dyDescent="0.3">
      <c r="A21" s="101" t="s">
        <v>12</v>
      </c>
      <c r="B21" s="101"/>
      <c r="C21" s="101"/>
      <c r="D21" s="91" t="s">
        <v>77</v>
      </c>
    </row>
    <row r="22" spans="1:20" ht="16.7" customHeight="1" x14ac:dyDescent="0.2">
      <c r="A22" s="5" t="s">
        <v>13</v>
      </c>
      <c r="B22" s="44"/>
      <c r="C22" s="6" t="s">
        <v>13</v>
      </c>
      <c r="D22" s="183" t="s">
        <v>14</v>
      </c>
      <c r="E22" s="183" t="s">
        <v>15</v>
      </c>
      <c r="F22" s="169" t="s">
        <v>16</v>
      </c>
      <c r="G22" s="202" t="s">
        <v>17</v>
      </c>
      <c r="H22" s="203"/>
      <c r="I22" s="203"/>
      <c r="J22" s="203"/>
      <c r="K22" s="203"/>
      <c r="L22" s="203"/>
      <c r="M22" s="203"/>
      <c r="N22" s="204" t="s">
        <v>61</v>
      </c>
      <c r="O22" s="205"/>
      <c r="P22" s="206"/>
      <c r="Q22" s="183" t="s">
        <v>18</v>
      </c>
      <c r="R22" s="169" t="s">
        <v>19</v>
      </c>
      <c r="S22" s="171" t="s">
        <v>20</v>
      </c>
      <c r="T22" s="173" t="s">
        <v>21</v>
      </c>
    </row>
    <row r="23" spans="1:20" ht="31.5" customHeight="1" thickBot="1" x14ac:dyDescent="0.25">
      <c r="A23" s="52" t="s">
        <v>22</v>
      </c>
      <c r="B23" s="9"/>
      <c r="C23" s="50" t="s">
        <v>58</v>
      </c>
      <c r="D23" s="188"/>
      <c r="E23" s="188"/>
      <c r="F23" s="170"/>
      <c r="G23" s="140" t="str">
        <f>G4</f>
        <v>12-18M</v>
      </c>
      <c r="H23" s="140" t="str">
        <f t="shared" ref="H23:I23" si="3">H4</f>
        <v>18-24M</v>
      </c>
      <c r="I23" s="140" t="str">
        <f t="shared" si="3"/>
        <v>2T</v>
      </c>
      <c r="J23" s="140" t="str">
        <f t="shared" ref="J23:M23" si="4">J4</f>
        <v>3T</v>
      </c>
      <c r="K23" s="140" t="str">
        <f t="shared" ref="K23" si="5">K4</f>
        <v>4T</v>
      </c>
      <c r="L23" s="140" t="str">
        <f t="shared" si="4"/>
        <v>5T</v>
      </c>
      <c r="M23" s="140" t="str">
        <f t="shared" si="4"/>
        <v>6T</v>
      </c>
      <c r="N23" s="207"/>
      <c r="O23" s="208"/>
      <c r="P23" s="209"/>
      <c r="Q23" s="184"/>
      <c r="R23" s="170"/>
      <c r="S23" s="172"/>
      <c r="T23" s="174"/>
    </row>
    <row r="24" spans="1:20" ht="25.5" customHeight="1" x14ac:dyDescent="0.2">
      <c r="A24" s="106">
        <v>1</v>
      </c>
      <c r="B24" s="113">
        <f>+D24</f>
        <v>61</v>
      </c>
      <c r="C24" s="114" t="s">
        <v>82</v>
      </c>
      <c r="D24" s="106">
        <v>61</v>
      </c>
      <c r="E24" s="70" t="s">
        <v>100</v>
      </c>
      <c r="F24" s="48">
        <v>8655475</v>
      </c>
      <c r="G24" s="141">
        <v>1</v>
      </c>
      <c r="H24" s="141">
        <v>1</v>
      </c>
      <c r="I24" s="141">
        <v>1</v>
      </c>
      <c r="J24" s="141">
        <v>2</v>
      </c>
      <c r="K24" s="141">
        <v>2</v>
      </c>
      <c r="L24" s="141">
        <v>2</v>
      </c>
      <c r="M24" s="141"/>
      <c r="N24" s="45">
        <f>SUM(G24:M24)</f>
        <v>9</v>
      </c>
      <c r="O24" s="46" t="s">
        <v>62</v>
      </c>
      <c r="P24" s="47">
        <v>4</v>
      </c>
      <c r="Q24" s="47">
        <f>+P24*N24</f>
        <v>36</v>
      </c>
      <c r="R24" s="115">
        <f>Q24*D24</f>
        <v>2196</v>
      </c>
      <c r="S24" s="116">
        <f>(G24*G5+H24*H5+I24*I5+J24*J5+L24*L5+M24*M5)*P24+0.71</f>
        <v>6.83</v>
      </c>
      <c r="T24" s="117">
        <f>S24-0.42</f>
        <v>6.41</v>
      </c>
    </row>
    <row r="25" spans="1:20" ht="25.5" customHeight="1" thickBot="1" x14ac:dyDescent="0.25">
      <c r="A25" s="106">
        <f>+B24+1</f>
        <v>62</v>
      </c>
      <c r="B25" s="113">
        <f>+B24+D25</f>
        <v>62</v>
      </c>
      <c r="C25" s="114" t="s">
        <v>82</v>
      </c>
      <c r="D25" s="106">
        <v>1</v>
      </c>
      <c r="E25" s="70"/>
      <c r="F25" s="48"/>
      <c r="G25" s="141">
        <v>1</v>
      </c>
      <c r="H25" s="141">
        <v>1</v>
      </c>
      <c r="I25" s="141">
        <v>1</v>
      </c>
      <c r="J25" s="141">
        <v>2</v>
      </c>
      <c r="K25" s="141">
        <v>2</v>
      </c>
      <c r="L25" s="141">
        <v>2</v>
      </c>
      <c r="M25" s="141"/>
      <c r="N25" s="45">
        <f>SUM(G25:M25)</f>
        <v>9</v>
      </c>
      <c r="O25" s="46" t="s">
        <v>62</v>
      </c>
      <c r="P25" s="47">
        <v>3</v>
      </c>
      <c r="Q25" s="47">
        <f>+P25*N25</f>
        <v>27</v>
      </c>
      <c r="R25" s="115">
        <f>Q25*D25</f>
        <v>27</v>
      </c>
      <c r="S25" s="116">
        <f>(G25*G6+H25*H6+I25*I6+J25*J6+L25*L6+M25*M6)*P25+0.71</f>
        <v>4.88</v>
      </c>
      <c r="T25" s="117">
        <f>S25-0.42</f>
        <v>4.46</v>
      </c>
    </row>
    <row r="26" spans="1:20" ht="16.7" customHeight="1" thickBot="1" x14ac:dyDescent="0.25">
      <c r="A26" s="191" t="s">
        <v>23</v>
      </c>
      <c r="B26" s="192"/>
      <c r="C26" s="193"/>
      <c r="D26" s="82">
        <f>SUM(D24:D25)</f>
        <v>62</v>
      </c>
      <c r="E26" s="8" t="s">
        <v>10</v>
      </c>
      <c r="F26" s="118"/>
      <c r="G26" s="79">
        <v>247</v>
      </c>
      <c r="H26" s="79">
        <v>247</v>
      </c>
      <c r="I26" s="79">
        <v>247</v>
      </c>
      <c r="J26" s="79">
        <v>494</v>
      </c>
      <c r="K26" s="79">
        <v>494</v>
      </c>
      <c r="L26" s="79">
        <v>494</v>
      </c>
      <c r="M26" s="79"/>
      <c r="N26" s="198"/>
      <c r="O26" s="199"/>
      <c r="P26" s="200"/>
      <c r="Q26" s="49"/>
      <c r="R26" s="79">
        <f>SUM(R24:R25)</f>
        <v>2223</v>
      </c>
      <c r="S26" s="49" t="s">
        <v>4</v>
      </c>
      <c r="T26" s="8"/>
    </row>
    <row r="27" spans="1:20" ht="16.7" customHeight="1" x14ac:dyDescent="0.2">
      <c r="A27" s="69"/>
      <c r="B27" s="69"/>
      <c r="C27" s="69"/>
      <c r="D27" s="83"/>
      <c r="E27" s="69"/>
      <c r="F27" s="11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83"/>
      <c r="S27" s="69"/>
      <c r="T27" s="69"/>
    </row>
    <row r="28" spans="1:20" ht="16.7" customHeight="1" x14ac:dyDescent="0.25">
      <c r="A28" s="194" t="s">
        <v>102</v>
      </c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</row>
    <row r="29" spans="1:20" s="91" customFormat="1" ht="16.7" customHeight="1" x14ac:dyDescent="0.25">
      <c r="A29" s="144" t="s">
        <v>0</v>
      </c>
      <c r="B29" s="144"/>
      <c r="C29" s="144"/>
      <c r="D29" s="144" t="str">
        <f>+D10</f>
        <v>OLD NAVY</v>
      </c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</row>
    <row r="30" spans="1:20" s="91" customFormat="1" ht="16.7" customHeight="1" x14ac:dyDescent="0.25">
      <c r="A30" s="144" t="s">
        <v>1</v>
      </c>
      <c r="B30" s="144"/>
      <c r="C30" s="144"/>
      <c r="D30" s="195" t="s">
        <v>104</v>
      </c>
      <c r="E30" s="195"/>
      <c r="H30" s="92"/>
      <c r="I30" s="92"/>
      <c r="J30" s="92"/>
      <c r="N30" s="93"/>
      <c r="O30" s="93"/>
      <c r="P30" s="93"/>
      <c r="Q30" s="93"/>
      <c r="R30" s="93"/>
      <c r="S30" s="93"/>
    </row>
    <row r="31" spans="1:20" s="91" customFormat="1" ht="16.7" customHeight="1" x14ac:dyDescent="0.25">
      <c r="A31" s="144" t="s">
        <v>2</v>
      </c>
      <c r="B31" s="144"/>
      <c r="C31" s="144"/>
      <c r="D31" s="189">
        <f>+D12</f>
        <v>61429740</v>
      </c>
      <c r="E31" s="189"/>
    </row>
    <row r="32" spans="1:20" s="91" customFormat="1" ht="16.7" customHeight="1" thickBot="1" x14ac:dyDescent="0.3">
      <c r="A32" s="144" t="s">
        <v>3</v>
      </c>
      <c r="B32" s="144"/>
      <c r="C32" s="144"/>
      <c r="D32" s="93">
        <v>2223</v>
      </c>
      <c r="E32" s="91" t="s">
        <v>4</v>
      </c>
      <c r="N32" s="91" t="s">
        <v>78</v>
      </c>
      <c r="R32" s="190">
        <f>D31</f>
        <v>61429740</v>
      </c>
      <c r="S32" s="190"/>
    </row>
    <row r="33" spans="1:20" s="91" customFormat="1" ht="16.7" customHeight="1" thickBot="1" x14ac:dyDescent="0.3">
      <c r="A33" s="144" t="s">
        <v>5</v>
      </c>
      <c r="B33" s="144"/>
      <c r="C33" s="144"/>
      <c r="D33" s="93">
        <f>+R45</f>
        <v>2223</v>
      </c>
      <c r="E33" s="91" t="s">
        <v>4</v>
      </c>
      <c r="N33" s="91" t="s">
        <v>6</v>
      </c>
      <c r="R33" s="196" t="str">
        <f>D30</f>
        <v>908546-00-1</v>
      </c>
      <c r="S33" s="197"/>
      <c r="T33" s="112"/>
    </row>
    <row r="34" spans="1:20" s="91" customFormat="1" ht="16.7" customHeight="1" thickBot="1" x14ac:dyDescent="0.3">
      <c r="A34" s="144" t="s">
        <v>7</v>
      </c>
      <c r="B34" s="144"/>
      <c r="C34" s="144"/>
      <c r="D34" s="93">
        <f>D33-D32</f>
        <v>0</v>
      </c>
      <c r="E34" s="91" t="s">
        <v>4</v>
      </c>
      <c r="N34" s="91" t="s">
        <v>60</v>
      </c>
      <c r="R34" s="197" t="s">
        <v>70</v>
      </c>
      <c r="S34" s="197"/>
      <c r="T34" s="112"/>
    </row>
    <row r="35" spans="1:20" s="91" customFormat="1" ht="16.7" customHeight="1" thickBot="1" x14ac:dyDescent="0.3">
      <c r="A35" s="144" t="s">
        <v>9</v>
      </c>
      <c r="B35" s="144"/>
      <c r="C35" s="144"/>
      <c r="D35" s="93">
        <f>D45</f>
        <v>62</v>
      </c>
      <c r="E35" s="91" t="s">
        <v>10</v>
      </c>
      <c r="N35" s="91" t="s">
        <v>11</v>
      </c>
      <c r="R35" s="197" t="s">
        <v>109</v>
      </c>
      <c r="S35" s="197"/>
    </row>
    <row r="36" spans="1:20" s="91" customFormat="1" ht="15" customHeight="1" x14ac:dyDescent="0.25">
      <c r="A36" s="144" t="s">
        <v>12</v>
      </c>
      <c r="B36" s="144"/>
      <c r="C36" s="144"/>
      <c r="D36" s="91" t="s">
        <v>64</v>
      </c>
    </row>
    <row r="37" spans="1:20" s="91" customFormat="1" ht="15" customHeight="1" x14ac:dyDescent="0.25">
      <c r="A37" s="144" t="s">
        <v>12</v>
      </c>
      <c r="B37" s="144"/>
      <c r="C37" s="144"/>
      <c r="D37" s="91" t="s">
        <v>65</v>
      </c>
    </row>
    <row r="38" spans="1:20" s="91" customFormat="1" ht="15" customHeight="1" x14ac:dyDescent="0.25">
      <c r="A38" s="144" t="s">
        <v>12</v>
      </c>
      <c r="B38" s="144"/>
      <c r="C38" s="144"/>
      <c r="D38" s="91" t="s">
        <v>66</v>
      </c>
    </row>
    <row r="39" spans="1:20" s="91" customFormat="1" ht="15" customHeight="1" x14ac:dyDescent="0.25">
      <c r="A39" s="144" t="s">
        <v>12</v>
      </c>
      <c r="B39" s="144"/>
      <c r="C39" s="144"/>
      <c r="D39" s="91" t="s">
        <v>76</v>
      </c>
    </row>
    <row r="40" spans="1:20" s="91" customFormat="1" ht="15" customHeight="1" thickBot="1" x14ac:dyDescent="0.3">
      <c r="A40" s="144" t="s">
        <v>12</v>
      </c>
      <c r="B40" s="144"/>
      <c r="C40" s="144"/>
      <c r="D40" s="91" t="s">
        <v>77</v>
      </c>
    </row>
    <row r="41" spans="1:20" ht="16.7" customHeight="1" x14ac:dyDescent="0.2">
      <c r="A41" s="5" t="s">
        <v>13</v>
      </c>
      <c r="B41" s="44"/>
      <c r="C41" s="6" t="s">
        <v>13</v>
      </c>
      <c r="D41" s="183" t="s">
        <v>14</v>
      </c>
      <c r="E41" s="183" t="s">
        <v>15</v>
      </c>
      <c r="F41" s="169" t="s">
        <v>16</v>
      </c>
      <c r="G41" s="202" t="s">
        <v>17</v>
      </c>
      <c r="H41" s="203"/>
      <c r="I41" s="203"/>
      <c r="J41" s="203"/>
      <c r="K41" s="203"/>
      <c r="L41" s="203"/>
      <c r="M41" s="203"/>
      <c r="N41" s="204" t="s">
        <v>61</v>
      </c>
      <c r="O41" s="205"/>
      <c r="P41" s="206"/>
      <c r="Q41" s="183" t="s">
        <v>18</v>
      </c>
      <c r="R41" s="169" t="s">
        <v>19</v>
      </c>
      <c r="S41" s="171" t="s">
        <v>20</v>
      </c>
      <c r="T41" s="173" t="s">
        <v>21</v>
      </c>
    </row>
    <row r="42" spans="1:20" ht="31.5" customHeight="1" thickBot="1" x14ac:dyDescent="0.25">
      <c r="A42" s="52" t="s">
        <v>22</v>
      </c>
      <c r="B42" s="9"/>
      <c r="C42" s="50" t="s">
        <v>58</v>
      </c>
      <c r="D42" s="188"/>
      <c r="E42" s="188"/>
      <c r="F42" s="170"/>
      <c r="G42" s="140" t="str">
        <f>+G4</f>
        <v>12-18M</v>
      </c>
      <c r="H42" s="140" t="str">
        <f t="shared" ref="H42:M42" si="6">+H4</f>
        <v>18-24M</v>
      </c>
      <c r="I42" s="140" t="str">
        <f t="shared" si="6"/>
        <v>2T</v>
      </c>
      <c r="J42" s="140" t="str">
        <f t="shared" si="6"/>
        <v>3T</v>
      </c>
      <c r="K42" s="140" t="str">
        <f t="shared" ref="K42" si="7">+K4</f>
        <v>4T</v>
      </c>
      <c r="L42" s="140" t="str">
        <f t="shared" si="6"/>
        <v>5T</v>
      </c>
      <c r="M42" s="140" t="str">
        <f t="shared" si="6"/>
        <v>6T</v>
      </c>
      <c r="N42" s="207"/>
      <c r="O42" s="208"/>
      <c r="P42" s="209"/>
      <c r="Q42" s="184"/>
      <c r="R42" s="170"/>
      <c r="S42" s="172"/>
      <c r="T42" s="174"/>
    </row>
    <row r="43" spans="1:20" ht="25.5" customHeight="1" x14ac:dyDescent="0.2">
      <c r="A43" s="106">
        <f>+B25+1</f>
        <v>63</v>
      </c>
      <c r="B43" s="113">
        <f>+B25+D43</f>
        <v>123</v>
      </c>
      <c r="C43" s="114" t="s">
        <v>82</v>
      </c>
      <c r="D43" s="106">
        <v>61</v>
      </c>
      <c r="E43" s="70" t="s">
        <v>101</v>
      </c>
      <c r="F43" s="48">
        <v>8655476</v>
      </c>
      <c r="G43" s="141">
        <v>1</v>
      </c>
      <c r="H43" s="141">
        <v>1</v>
      </c>
      <c r="I43" s="141">
        <v>1</v>
      </c>
      <c r="J43" s="141">
        <v>2</v>
      </c>
      <c r="K43" s="141">
        <v>2</v>
      </c>
      <c r="L43" s="141">
        <v>2</v>
      </c>
      <c r="M43" s="141"/>
      <c r="N43" s="45">
        <f>SUM(G43:M43)</f>
        <v>9</v>
      </c>
      <c r="O43" s="46" t="s">
        <v>62</v>
      </c>
      <c r="P43" s="47">
        <v>4</v>
      </c>
      <c r="Q43" s="47">
        <f>+P43*N43</f>
        <v>36</v>
      </c>
      <c r="R43" s="115">
        <f>Q43*D43</f>
        <v>2196</v>
      </c>
      <c r="S43" s="116">
        <f>(G43*G5+H43*H5+I43*I5+J43*J5+L43*L5+M43*M5)*P43+0.71</f>
        <v>6.83</v>
      </c>
      <c r="T43" s="117">
        <f>S43-0.42</f>
        <v>6.41</v>
      </c>
    </row>
    <row r="44" spans="1:20" ht="25.5" customHeight="1" thickBot="1" x14ac:dyDescent="0.25">
      <c r="A44" s="106">
        <f>+B43+1</f>
        <v>124</v>
      </c>
      <c r="B44" s="113">
        <f>+B43+D44</f>
        <v>124</v>
      </c>
      <c r="C44" s="114" t="s">
        <v>82</v>
      </c>
      <c r="D44" s="106">
        <v>1</v>
      </c>
      <c r="E44" s="70"/>
      <c r="F44" s="48"/>
      <c r="G44" s="141">
        <v>1</v>
      </c>
      <c r="H44" s="141">
        <v>1</v>
      </c>
      <c r="I44" s="141">
        <v>1</v>
      </c>
      <c r="J44" s="141">
        <v>2</v>
      </c>
      <c r="K44" s="141">
        <v>2</v>
      </c>
      <c r="L44" s="141">
        <v>2</v>
      </c>
      <c r="M44" s="141"/>
      <c r="N44" s="45">
        <f>SUM(G44:M44)</f>
        <v>9</v>
      </c>
      <c r="O44" s="46" t="s">
        <v>62</v>
      </c>
      <c r="P44" s="47">
        <v>3</v>
      </c>
      <c r="Q44" s="47">
        <f>+P44*N44</f>
        <v>27</v>
      </c>
      <c r="R44" s="115">
        <f>Q44*D44</f>
        <v>27</v>
      </c>
      <c r="S44" s="116">
        <f>(G44*G6+H44*H6+I44*I6+J44*J6+L44*L6+M44*M6)*P44+0.71</f>
        <v>4.88</v>
      </c>
      <c r="T44" s="117">
        <f>S44-0.42</f>
        <v>4.46</v>
      </c>
    </row>
    <row r="45" spans="1:20" ht="16.7" customHeight="1" thickBot="1" x14ac:dyDescent="0.25">
      <c r="A45" s="191" t="s">
        <v>23</v>
      </c>
      <c r="B45" s="192"/>
      <c r="C45" s="193"/>
      <c r="D45" s="82">
        <f>SUM(D43:D44)</f>
        <v>62</v>
      </c>
      <c r="E45" s="8" t="s">
        <v>10</v>
      </c>
      <c r="F45" s="118"/>
      <c r="G45" s="79">
        <v>247</v>
      </c>
      <c r="H45" s="79">
        <v>247</v>
      </c>
      <c r="I45" s="79">
        <v>247</v>
      </c>
      <c r="J45" s="79">
        <v>494</v>
      </c>
      <c r="K45" s="79">
        <v>494</v>
      </c>
      <c r="L45" s="79">
        <v>494</v>
      </c>
      <c r="M45" s="79"/>
      <c r="N45" s="198"/>
      <c r="O45" s="199"/>
      <c r="P45" s="200"/>
      <c r="Q45" s="49"/>
      <c r="R45" s="79">
        <f>SUM(R43:R44)</f>
        <v>2223</v>
      </c>
      <c r="S45" s="49" t="s">
        <v>4</v>
      </c>
      <c r="T45" s="8"/>
    </row>
    <row r="46" spans="1:20" ht="16.7" customHeight="1" x14ac:dyDescent="0.2">
      <c r="A46" s="69"/>
      <c r="B46" s="69"/>
      <c r="C46" s="69"/>
      <c r="D46" s="83"/>
      <c r="E46" s="69"/>
      <c r="F46" s="119"/>
      <c r="G46" s="83"/>
      <c r="H46" s="83"/>
      <c r="I46" s="83"/>
      <c r="J46" s="83"/>
      <c r="K46" s="83"/>
      <c r="L46" s="83"/>
      <c r="M46" s="83"/>
      <c r="N46" s="69"/>
      <c r="O46" s="69"/>
      <c r="P46" s="69"/>
      <c r="Q46" s="69"/>
      <c r="R46" s="83"/>
      <c r="S46" s="69"/>
      <c r="T46" s="69"/>
    </row>
    <row r="47" spans="1:20" ht="16.7" customHeight="1" x14ac:dyDescent="0.25">
      <c r="A47" s="201" t="s">
        <v>105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</row>
    <row r="48" spans="1:20" s="91" customFormat="1" ht="16.7" customHeight="1" x14ac:dyDescent="0.25">
      <c r="A48" s="101" t="s">
        <v>0</v>
      </c>
      <c r="B48" s="101"/>
      <c r="C48" s="101"/>
      <c r="D48" s="101" t="str">
        <f>D10</f>
        <v>OLD NAVY</v>
      </c>
      <c r="E48" s="102"/>
      <c r="F48" s="102"/>
      <c r="G48" s="102"/>
      <c r="H48" s="135"/>
      <c r="I48" s="135"/>
      <c r="J48" s="102"/>
      <c r="K48" s="146"/>
      <c r="L48" s="102"/>
      <c r="M48" s="102"/>
      <c r="N48" s="102"/>
      <c r="O48" s="102"/>
      <c r="P48" s="102"/>
      <c r="Q48" s="102"/>
      <c r="R48" s="102"/>
      <c r="S48" s="102"/>
      <c r="T48" s="102"/>
    </row>
    <row r="49" spans="1:20" s="91" customFormat="1" ht="16.7" customHeight="1" x14ac:dyDescent="0.25">
      <c r="A49" s="101" t="s">
        <v>1</v>
      </c>
      <c r="B49" s="101"/>
      <c r="C49" s="101"/>
      <c r="D49" s="105" t="str">
        <f>D11</f>
        <v>908546-01-1</v>
      </c>
      <c r="H49" s="92"/>
      <c r="I49" s="92"/>
      <c r="J49" s="92"/>
      <c r="N49" s="93"/>
      <c r="O49" s="93"/>
      <c r="P49" s="93"/>
      <c r="Q49" s="93"/>
      <c r="R49" s="93"/>
      <c r="S49" s="93"/>
    </row>
    <row r="50" spans="1:20" s="91" customFormat="1" ht="16.7" customHeight="1" x14ac:dyDescent="0.25">
      <c r="A50" s="101" t="s">
        <v>2</v>
      </c>
      <c r="B50" s="101"/>
      <c r="C50" s="101"/>
      <c r="D50" s="189">
        <f>D12</f>
        <v>61429740</v>
      </c>
      <c r="E50" s="189"/>
    </row>
    <row r="51" spans="1:20" s="91" customFormat="1" ht="15" customHeight="1" thickBot="1" x14ac:dyDescent="0.3">
      <c r="A51" s="101" t="s">
        <v>3</v>
      </c>
      <c r="B51" s="101"/>
      <c r="C51" s="101"/>
      <c r="D51" s="93">
        <v>66</v>
      </c>
      <c r="E51" s="91" t="s">
        <v>4</v>
      </c>
      <c r="N51" s="91" t="s">
        <v>78</v>
      </c>
      <c r="R51" s="190">
        <f>D50</f>
        <v>61429740</v>
      </c>
      <c r="S51" s="190"/>
    </row>
    <row r="52" spans="1:20" s="91" customFormat="1" ht="15" customHeight="1" thickBot="1" x14ac:dyDescent="0.3">
      <c r="A52" s="101" t="s">
        <v>5</v>
      </c>
      <c r="B52" s="101"/>
      <c r="C52" s="101"/>
      <c r="D52" s="93">
        <f>R65</f>
        <v>66</v>
      </c>
      <c r="E52" s="91" t="s">
        <v>4</v>
      </c>
      <c r="N52" s="91" t="s">
        <v>6</v>
      </c>
      <c r="R52" s="196" t="str">
        <f>D49</f>
        <v>908546-01-1</v>
      </c>
      <c r="S52" s="197"/>
      <c r="T52" s="112"/>
    </row>
    <row r="53" spans="1:20" s="91" customFormat="1" ht="15" customHeight="1" thickBot="1" x14ac:dyDescent="0.3">
      <c r="A53" s="101" t="s">
        <v>7</v>
      </c>
      <c r="B53" s="101"/>
      <c r="C53" s="101"/>
      <c r="D53" s="93">
        <f>D52-D51</f>
        <v>0</v>
      </c>
      <c r="E53" s="91" t="s">
        <v>4</v>
      </c>
      <c r="N53" s="91" t="s">
        <v>60</v>
      </c>
      <c r="R53" s="197" t="s">
        <v>8</v>
      </c>
      <c r="S53" s="197"/>
      <c r="T53" s="112"/>
    </row>
    <row r="54" spans="1:20" s="91" customFormat="1" ht="16.7" customHeight="1" thickBot="1" x14ac:dyDescent="0.3">
      <c r="A54" s="101" t="s">
        <v>9</v>
      </c>
      <c r="B54" s="101"/>
      <c r="C54" s="101"/>
      <c r="D54" s="93">
        <f>D65</f>
        <v>4</v>
      </c>
      <c r="E54" s="91" t="s">
        <v>10</v>
      </c>
      <c r="N54" s="91" t="s">
        <v>11</v>
      </c>
      <c r="R54" s="197" t="s">
        <v>108</v>
      </c>
      <c r="S54" s="197"/>
    </row>
    <row r="55" spans="1:20" s="91" customFormat="1" ht="16.7" customHeight="1" x14ac:dyDescent="0.25">
      <c r="A55" s="101" t="s">
        <v>12</v>
      </c>
      <c r="B55" s="101"/>
      <c r="C55" s="101"/>
      <c r="D55" s="91" t="s">
        <v>64</v>
      </c>
    </row>
    <row r="56" spans="1:20" s="91" customFormat="1" ht="16.7" customHeight="1" x14ac:dyDescent="0.25">
      <c r="A56" s="101" t="s">
        <v>12</v>
      </c>
      <c r="B56" s="101"/>
      <c r="C56" s="101"/>
      <c r="D56" s="91" t="s">
        <v>65</v>
      </c>
    </row>
    <row r="57" spans="1:20" s="91" customFormat="1" ht="16.7" customHeight="1" x14ac:dyDescent="0.25">
      <c r="A57" s="101" t="s">
        <v>12</v>
      </c>
      <c r="B57" s="101"/>
      <c r="C57" s="101"/>
      <c r="D57" s="91" t="s">
        <v>66</v>
      </c>
    </row>
    <row r="58" spans="1:20" s="91" customFormat="1" ht="15" customHeight="1" thickBot="1" x14ac:dyDescent="0.3">
      <c r="A58" s="101" t="s">
        <v>12</v>
      </c>
      <c r="B58" s="101"/>
      <c r="C58" s="101"/>
      <c r="D58" s="91" t="s">
        <v>76</v>
      </c>
    </row>
    <row r="59" spans="1:20" ht="16.7" customHeight="1" x14ac:dyDescent="0.2">
      <c r="A59" s="5" t="s">
        <v>13</v>
      </c>
      <c r="B59" s="44"/>
      <c r="C59" s="6" t="s">
        <v>13</v>
      </c>
      <c r="D59" s="183" t="s">
        <v>14</v>
      </c>
      <c r="E59" s="183" t="s">
        <v>15</v>
      </c>
      <c r="F59" s="169" t="s">
        <v>16</v>
      </c>
      <c r="G59" s="185" t="s">
        <v>17</v>
      </c>
      <c r="H59" s="186"/>
      <c r="I59" s="186"/>
      <c r="J59" s="186"/>
      <c r="K59" s="186"/>
      <c r="L59" s="186"/>
      <c r="M59" s="186"/>
      <c r="N59" s="186"/>
      <c r="O59" s="186"/>
      <c r="P59" s="187"/>
      <c r="Q59" s="183" t="s">
        <v>18</v>
      </c>
      <c r="R59" s="169" t="s">
        <v>19</v>
      </c>
      <c r="S59" s="171" t="s">
        <v>20</v>
      </c>
      <c r="T59" s="173" t="s">
        <v>21</v>
      </c>
    </row>
    <row r="60" spans="1:20" ht="21.75" customHeight="1" thickBot="1" x14ac:dyDescent="0.25">
      <c r="A60" s="108" t="s">
        <v>22</v>
      </c>
      <c r="B60" s="109"/>
      <c r="C60" s="7" t="s">
        <v>58</v>
      </c>
      <c r="D60" s="184"/>
      <c r="E60" s="184"/>
      <c r="F60" s="170"/>
      <c r="G60" s="136" t="str">
        <f t="shared" ref="G60:M60" si="8">G4</f>
        <v>12-18M</v>
      </c>
      <c r="H60" s="136" t="str">
        <f t="shared" ref="H60:I60" si="9">H4</f>
        <v>18-24M</v>
      </c>
      <c r="I60" s="136" t="str">
        <f t="shared" si="9"/>
        <v>2T</v>
      </c>
      <c r="J60" s="136" t="str">
        <f t="shared" si="8"/>
        <v>3T</v>
      </c>
      <c r="K60" s="136" t="str">
        <f t="shared" ref="K60" si="10">K4</f>
        <v>4T</v>
      </c>
      <c r="L60" s="136" t="str">
        <f t="shared" si="8"/>
        <v>5T</v>
      </c>
      <c r="M60" s="136" t="str">
        <f t="shared" si="8"/>
        <v>6T</v>
      </c>
      <c r="N60" s="175"/>
      <c r="O60" s="176"/>
      <c r="P60" s="177"/>
      <c r="Q60" s="184"/>
      <c r="R60" s="170"/>
      <c r="S60" s="172"/>
      <c r="T60" s="174"/>
    </row>
    <row r="61" spans="1:20" ht="28.5" customHeight="1" x14ac:dyDescent="0.2">
      <c r="A61" s="120">
        <f>+B44+1</f>
        <v>125</v>
      </c>
      <c r="B61" s="121">
        <f>+B44+D61</f>
        <v>125</v>
      </c>
      <c r="C61" s="122" t="s">
        <v>83</v>
      </c>
      <c r="D61" s="123">
        <v>1</v>
      </c>
      <c r="E61" s="70" t="str">
        <f>+E24</f>
        <v>ESPRESSO BARK</v>
      </c>
      <c r="F61" s="137">
        <v>8655486</v>
      </c>
      <c r="G61" s="137"/>
      <c r="H61" s="137"/>
      <c r="I61" s="137">
        <v>12</v>
      </c>
      <c r="J61" s="137"/>
      <c r="K61" s="137"/>
      <c r="L61" s="137"/>
      <c r="M61" s="137"/>
      <c r="N61" s="65"/>
      <c r="O61" s="66"/>
      <c r="P61" s="67"/>
      <c r="Q61" s="47">
        <f>SUM(G61:P61)*2</f>
        <v>24</v>
      </c>
      <c r="R61" s="125">
        <f t="shared" ref="R61:R64" si="11">Q61*D61</f>
        <v>24</v>
      </c>
      <c r="S61" s="126">
        <f>+Q61*I5+0.42</f>
        <v>5.46</v>
      </c>
      <c r="T61" s="127">
        <f t="shared" ref="T61" si="12">S61-0.24</f>
        <v>5.22</v>
      </c>
    </row>
    <row r="62" spans="1:20" ht="28.5" customHeight="1" x14ac:dyDescent="0.2">
      <c r="A62" s="120">
        <f>+B61+1</f>
        <v>126</v>
      </c>
      <c r="B62" s="121">
        <f>+B61+D62</f>
        <v>126</v>
      </c>
      <c r="C62" s="122" t="s">
        <v>81</v>
      </c>
      <c r="D62" s="123">
        <v>1</v>
      </c>
      <c r="E62" s="70"/>
      <c r="F62" s="137">
        <v>8655498</v>
      </c>
      <c r="G62" s="137"/>
      <c r="H62" s="137"/>
      <c r="I62" s="137"/>
      <c r="J62" s="137">
        <v>6</v>
      </c>
      <c r="K62" s="137"/>
      <c r="L62" s="137"/>
      <c r="M62" s="137"/>
      <c r="N62" s="65"/>
      <c r="O62" s="66"/>
      <c r="P62" s="67"/>
      <c r="Q62" s="47">
        <f t="shared" ref="Q62:Q64" si="13">SUM(G62:P62)*2</f>
        <v>12</v>
      </c>
      <c r="R62" s="125">
        <f t="shared" si="11"/>
        <v>12</v>
      </c>
      <c r="S62" s="126">
        <f>+Q62*L5+0.89</f>
        <v>4.01</v>
      </c>
      <c r="T62" s="127">
        <f t="shared" ref="T62:T64" si="14">S62-0.24</f>
        <v>3.7699999999999996</v>
      </c>
    </row>
    <row r="63" spans="1:20" ht="28.5" customHeight="1" x14ac:dyDescent="0.2">
      <c r="A63" s="120">
        <f t="shared" ref="A63:A64" si="15">+B62+1</f>
        <v>127</v>
      </c>
      <c r="B63" s="121">
        <f t="shared" ref="B63:B64" si="16">+B62+D63</f>
        <v>127</v>
      </c>
      <c r="C63" s="122" t="s">
        <v>83</v>
      </c>
      <c r="D63" s="123">
        <v>1</v>
      </c>
      <c r="E63" s="70"/>
      <c r="F63" s="137">
        <v>8655494</v>
      </c>
      <c r="G63" s="137"/>
      <c r="H63" s="137"/>
      <c r="I63" s="137"/>
      <c r="J63" s="137"/>
      <c r="K63" s="137">
        <v>11</v>
      </c>
      <c r="L63" s="137"/>
      <c r="M63" s="137"/>
      <c r="N63" s="65"/>
      <c r="O63" s="66"/>
      <c r="P63" s="67"/>
      <c r="Q63" s="47">
        <f t="shared" ref="Q63" si="17">SUM(G63:P63)*2</f>
        <v>22</v>
      </c>
      <c r="R63" s="125">
        <f t="shared" ref="R63" si="18">Q63*D63</f>
        <v>22</v>
      </c>
      <c r="S63" s="126">
        <f>+Q63*K5+0.42</f>
        <v>5.92</v>
      </c>
      <c r="T63" s="127">
        <f t="shared" ref="T63" si="19">S63-0.24</f>
        <v>5.68</v>
      </c>
    </row>
    <row r="64" spans="1:20" ht="28.5" customHeight="1" x14ac:dyDescent="0.2">
      <c r="A64" s="120">
        <f t="shared" si="15"/>
        <v>128</v>
      </c>
      <c r="B64" s="121">
        <f t="shared" si="16"/>
        <v>128</v>
      </c>
      <c r="C64" s="122" t="s">
        <v>91</v>
      </c>
      <c r="D64" s="123">
        <v>1</v>
      </c>
      <c r="E64" s="70"/>
      <c r="F64" s="137">
        <v>8655488</v>
      </c>
      <c r="G64" s="137"/>
      <c r="H64" s="137"/>
      <c r="I64" s="137"/>
      <c r="J64" s="137"/>
      <c r="K64" s="137"/>
      <c r="L64" s="137">
        <v>4</v>
      </c>
      <c r="M64" s="137"/>
      <c r="N64" s="65"/>
      <c r="O64" s="66"/>
      <c r="P64" s="67"/>
      <c r="Q64" s="47">
        <f t="shared" si="13"/>
        <v>8</v>
      </c>
      <c r="R64" s="125">
        <f t="shared" si="11"/>
        <v>8</v>
      </c>
      <c r="S64" s="126">
        <f>+Q64*M5+0.71</f>
        <v>2.95</v>
      </c>
      <c r="T64" s="127">
        <f t="shared" si="14"/>
        <v>2.71</v>
      </c>
    </row>
    <row r="65" spans="1:20" ht="16.7" customHeight="1" thickBot="1" x14ac:dyDescent="0.3">
      <c r="A65" s="178" t="s">
        <v>23</v>
      </c>
      <c r="B65" s="179"/>
      <c r="C65" s="179"/>
      <c r="D65" s="103">
        <f>SUM(D61:D64)</f>
        <v>4</v>
      </c>
      <c r="E65" s="51" t="s">
        <v>13</v>
      </c>
      <c r="F65" s="137"/>
      <c r="G65" s="138"/>
      <c r="H65" s="138"/>
      <c r="I65" s="138">
        <v>24</v>
      </c>
      <c r="J65" s="138">
        <v>12</v>
      </c>
      <c r="K65" s="138">
        <v>22</v>
      </c>
      <c r="L65" s="138">
        <v>8</v>
      </c>
      <c r="M65" s="138"/>
      <c r="N65" s="180"/>
      <c r="O65" s="181"/>
      <c r="P65" s="182"/>
      <c r="Q65" s="100"/>
      <c r="R65" s="80">
        <f>SUM(R61:R64)</f>
        <v>66</v>
      </c>
      <c r="S65" s="53" t="s">
        <v>4</v>
      </c>
      <c r="T65" s="68"/>
    </row>
    <row r="66" spans="1:20" ht="16.7" customHeight="1" x14ac:dyDescent="0.25">
      <c r="A66" s="86"/>
      <c r="B66" s="86"/>
      <c r="C66" s="86"/>
      <c r="D66" s="87"/>
      <c r="E66" s="86"/>
      <c r="F66" s="128"/>
      <c r="G66" s="88"/>
      <c r="H66" s="88"/>
      <c r="I66" s="88"/>
      <c r="J66" s="88"/>
      <c r="K66" s="88"/>
      <c r="L66" s="88"/>
      <c r="M66" s="88"/>
      <c r="N66" s="86"/>
      <c r="O66" s="86"/>
      <c r="P66" s="86"/>
      <c r="Q66" s="86"/>
      <c r="R66" s="87"/>
      <c r="S66" s="89"/>
      <c r="T66" s="89"/>
    </row>
    <row r="67" spans="1:20" ht="16.7" customHeight="1" x14ac:dyDescent="0.25">
      <c r="A67" s="201" t="s">
        <v>80</v>
      </c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</row>
    <row r="68" spans="1:20" s="91" customFormat="1" ht="16.7" customHeight="1" x14ac:dyDescent="0.25">
      <c r="A68" s="144" t="s">
        <v>0</v>
      </c>
      <c r="B68" s="144"/>
      <c r="C68" s="144"/>
      <c r="D68" s="144" t="str">
        <f>+D10</f>
        <v>OLD NAVY</v>
      </c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</row>
    <row r="69" spans="1:20" s="91" customFormat="1" ht="16.7" customHeight="1" x14ac:dyDescent="0.25">
      <c r="A69" s="144" t="s">
        <v>1</v>
      </c>
      <c r="B69" s="144"/>
      <c r="C69" s="144"/>
      <c r="D69" s="149" t="str">
        <f>+D11</f>
        <v>908546-01-1</v>
      </c>
      <c r="H69" s="92"/>
      <c r="I69" s="92"/>
      <c r="J69" s="92"/>
      <c r="N69" s="93"/>
      <c r="O69" s="93"/>
      <c r="P69" s="93"/>
      <c r="Q69" s="93"/>
      <c r="R69" s="93"/>
      <c r="S69" s="93"/>
    </row>
    <row r="70" spans="1:20" s="91" customFormat="1" ht="16.7" customHeight="1" x14ac:dyDescent="0.25">
      <c r="A70" s="144" t="s">
        <v>2</v>
      </c>
      <c r="B70" s="144"/>
      <c r="C70" s="144"/>
      <c r="D70" s="189">
        <f>+D50</f>
        <v>61429740</v>
      </c>
      <c r="E70" s="189"/>
    </row>
    <row r="71" spans="1:20" s="91" customFormat="1" ht="15" customHeight="1" thickBot="1" x14ac:dyDescent="0.3">
      <c r="A71" s="144" t="s">
        <v>3</v>
      </c>
      <c r="B71" s="144"/>
      <c r="C71" s="144"/>
      <c r="D71" s="93">
        <v>546</v>
      </c>
      <c r="E71" s="91" t="s">
        <v>4</v>
      </c>
      <c r="N71" s="91" t="s">
        <v>78</v>
      </c>
      <c r="R71" s="190">
        <f>D70</f>
        <v>61429740</v>
      </c>
      <c r="S71" s="190"/>
    </row>
    <row r="72" spans="1:20" s="91" customFormat="1" ht="15" customHeight="1" thickBot="1" x14ac:dyDescent="0.3">
      <c r="A72" s="144" t="s">
        <v>5</v>
      </c>
      <c r="B72" s="144"/>
      <c r="C72" s="144"/>
      <c r="D72" s="93">
        <f>R89</f>
        <v>622</v>
      </c>
      <c r="E72" s="91" t="s">
        <v>4</v>
      </c>
      <c r="N72" s="91" t="s">
        <v>6</v>
      </c>
      <c r="R72" s="196" t="str">
        <f>D69</f>
        <v>908546-01-1</v>
      </c>
      <c r="S72" s="197"/>
      <c r="T72" s="112"/>
    </row>
    <row r="73" spans="1:20" s="91" customFormat="1" ht="15" customHeight="1" thickBot="1" x14ac:dyDescent="0.3">
      <c r="A73" s="144" t="s">
        <v>7</v>
      </c>
      <c r="B73" s="144"/>
      <c r="C73" s="144"/>
      <c r="D73" s="93">
        <f>D72-D71</f>
        <v>76</v>
      </c>
      <c r="E73" s="91" t="s">
        <v>4</v>
      </c>
      <c r="N73" s="91" t="s">
        <v>60</v>
      </c>
      <c r="R73" s="197" t="s">
        <v>8</v>
      </c>
      <c r="S73" s="197"/>
      <c r="T73" s="112"/>
    </row>
    <row r="74" spans="1:20" s="91" customFormat="1" ht="16.7" customHeight="1" thickBot="1" x14ac:dyDescent="0.3">
      <c r="A74" s="144" t="s">
        <v>9</v>
      </c>
      <c r="B74" s="144"/>
      <c r="C74" s="144"/>
      <c r="D74" s="93">
        <f>D89</f>
        <v>15</v>
      </c>
      <c r="E74" s="91" t="s">
        <v>10</v>
      </c>
      <c r="N74" s="91" t="s">
        <v>11</v>
      </c>
      <c r="R74" s="197" t="s">
        <v>107</v>
      </c>
      <c r="S74" s="197"/>
    </row>
    <row r="75" spans="1:20" s="91" customFormat="1" ht="16.7" customHeight="1" x14ac:dyDescent="0.25">
      <c r="A75" s="144" t="s">
        <v>12</v>
      </c>
      <c r="B75" s="144"/>
      <c r="C75" s="144"/>
      <c r="D75" s="91" t="s">
        <v>64</v>
      </c>
    </row>
    <row r="76" spans="1:20" s="91" customFormat="1" ht="16.7" customHeight="1" x14ac:dyDescent="0.25">
      <c r="A76" s="144" t="s">
        <v>12</v>
      </c>
      <c r="B76" s="144"/>
      <c r="C76" s="144"/>
      <c r="D76" s="91" t="s">
        <v>65</v>
      </c>
    </row>
    <row r="77" spans="1:20" s="91" customFormat="1" ht="16.7" customHeight="1" x14ac:dyDescent="0.25">
      <c r="A77" s="144" t="s">
        <v>12</v>
      </c>
      <c r="B77" s="144"/>
      <c r="C77" s="144"/>
      <c r="D77" s="91" t="s">
        <v>66</v>
      </c>
    </row>
    <row r="78" spans="1:20" s="91" customFormat="1" ht="15" customHeight="1" thickBot="1" x14ac:dyDescent="0.3">
      <c r="A78" s="144" t="s">
        <v>12</v>
      </c>
      <c r="B78" s="144"/>
      <c r="C78" s="144"/>
      <c r="D78" s="91" t="s">
        <v>76</v>
      </c>
    </row>
    <row r="79" spans="1:20" ht="16.7" customHeight="1" x14ac:dyDescent="0.2">
      <c r="A79" s="5" t="s">
        <v>13</v>
      </c>
      <c r="B79" s="44"/>
      <c r="C79" s="6" t="s">
        <v>13</v>
      </c>
      <c r="D79" s="183" t="s">
        <v>14</v>
      </c>
      <c r="E79" s="183" t="s">
        <v>15</v>
      </c>
      <c r="F79" s="169" t="s">
        <v>16</v>
      </c>
      <c r="G79" s="185" t="s">
        <v>17</v>
      </c>
      <c r="H79" s="186"/>
      <c r="I79" s="186"/>
      <c r="J79" s="186"/>
      <c r="K79" s="186"/>
      <c r="L79" s="186"/>
      <c r="M79" s="186"/>
      <c r="N79" s="186"/>
      <c r="O79" s="186"/>
      <c r="P79" s="187"/>
      <c r="Q79" s="183" t="s">
        <v>18</v>
      </c>
      <c r="R79" s="169" t="s">
        <v>19</v>
      </c>
      <c r="S79" s="171" t="s">
        <v>20</v>
      </c>
      <c r="T79" s="173" t="s">
        <v>21</v>
      </c>
    </row>
    <row r="80" spans="1:20" ht="21.75" customHeight="1" thickBot="1" x14ac:dyDescent="0.25">
      <c r="A80" s="147" t="s">
        <v>22</v>
      </c>
      <c r="B80" s="148"/>
      <c r="C80" s="7" t="s">
        <v>58</v>
      </c>
      <c r="D80" s="184"/>
      <c r="E80" s="184"/>
      <c r="F80" s="170"/>
      <c r="G80" s="136" t="str">
        <f t="shared" ref="G80:M80" si="20">+G4</f>
        <v>12-18M</v>
      </c>
      <c r="H80" s="136" t="str">
        <f t="shared" si="20"/>
        <v>18-24M</v>
      </c>
      <c r="I80" s="136" t="str">
        <f t="shared" si="20"/>
        <v>2T</v>
      </c>
      <c r="J80" s="136" t="str">
        <f t="shared" si="20"/>
        <v>3T</v>
      </c>
      <c r="K80" s="136" t="str">
        <f t="shared" si="20"/>
        <v>4T</v>
      </c>
      <c r="L80" s="136" t="str">
        <f t="shared" si="20"/>
        <v>5T</v>
      </c>
      <c r="M80" s="136" t="str">
        <f t="shared" si="20"/>
        <v>6T</v>
      </c>
      <c r="N80" s="175"/>
      <c r="O80" s="176"/>
      <c r="P80" s="177"/>
      <c r="Q80" s="184"/>
      <c r="R80" s="170"/>
      <c r="S80" s="172"/>
      <c r="T80" s="174"/>
    </row>
    <row r="81" spans="1:20" ht="28.5" customHeight="1" x14ac:dyDescent="0.2">
      <c r="A81" s="120">
        <f>+B64+1</f>
        <v>129</v>
      </c>
      <c r="B81" s="121">
        <f>+B64+D81</f>
        <v>129</v>
      </c>
      <c r="C81" s="122" t="s">
        <v>81</v>
      </c>
      <c r="D81" s="123">
        <v>1</v>
      </c>
      <c r="E81" s="70" t="s">
        <v>100</v>
      </c>
      <c r="F81" s="137"/>
      <c r="G81" s="137">
        <v>12</v>
      </c>
      <c r="H81" s="137"/>
      <c r="I81" s="137"/>
      <c r="J81" s="137"/>
      <c r="K81" s="137"/>
      <c r="L81" s="137"/>
      <c r="M81" s="137"/>
      <c r="N81" s="65"/>
      <c r="O81" s="66"/>
      <c r="P81" s="67"/>
      <c r="Q81" s="47">
        <f t="shared" ref="Q81:Q88" si="21">SUM(G81:P81)</f>
        <v>12</v>
      </c>
      <c r="R81" s="125">
        <f t="shared" ref="R81:R88" si="22">Q81*D81</f>
        <v>12</v>
      </c>
      <c r="S81" s="126">
        <f>+Q81*G5+0.89</f>
        <v>2.93</v>
      </c>
      <c r="T81" s="127">
        <f t="shared" ref="T81:T88" si="23">S81-0.24</f>
        <v>2.6900000000000004</v>
      </c>
    </row>
    <row r="82" spans="1:20" ht="28.5" customHeight="1" x14ac:dyDescent="0.2">
      <c r="A82" s="120">
        <f>+B81+1</f>
        <v>130</v>
      </c>
      <c r="B82" s="121">
        <f>+B81+D82</f>
        <v>130</v>
      </c>
      <c r="C82" s="122" t="s">
        <v>83</v>
      </c>
      <c r="D82" s="123">
        <v>1</v>
      </c>
      <c r="E82" s="70"/>
      <c r="F82" s="137"/>
      <c r="G82" s="137"/>
      <c r="H82" s="137">
        <v>26</v>
      </c>
      <c r="I82" s="137"/>
      <c r="J82" s="137"/>
      <c r="K82" s="137"/>
      <c r="L82" s="137"/>
      <c r="M82" s="137"/>
      <c r="N82" s="65"/>
      <c r="O82" s="66"/>
      <c r="P82" s="67"/>
      <c r="Q82" s="47">
        <f t="shared" ref="Q82" si="24">SUM(G82:P82)</f>
        <v>26</v>
      </c>
      <c r="R82" s="125">
        <f t="shared" ref="R82" si="25">Q82*D82</f>
        <v>26</v>
      </c>
      <c r="S82" s="126">
        <f>+Q82*H5+0.71</f>
        <v>5.65</v>
      </c>
      <c r="T82" s="127">
        <f t="shared" ref="T82" si="26">S82-0.24</f>
        <v>5.41</v>
      </c>
    </row>
    <row r="83" spans="1:20" ht="28.5" customHeight="1" x14ac:dyDescent="0.2">
      <c r="A83" s="120">
        <f t="shared" ref="A83:A88" si="27">+B82+1</f>
        <v>131</v>
      </c>
      <c r="B83" s="121">
        <f t="shared" ref="B83:B88" si="28">+B82+D83</f>
        <v>132</v>
      </c>
      <c r="C83" s="122" t="s">
        <v>82</v>
      </c>
      <c r="D83" s="123">
        <v>2</v>
      </c>
      <c r="E83" s="70"/>
      <c r="F83" s="137"/>
      <c r="G83" s="137"/>
      <c r="H83" s="137"/>
      <c r="I83" s="137">
        <v>50</v>
      </c>
      <c r="J83" s="137"/>
      <c r="K83" s="137"/>
      <c r="L83" s="137"/>
      <c r="M83" s="137"/>
      <c r="N83" s="65"/>
      <c r="O83" s="66"/>
      <c r="P83" s="67"/>
      <c r="Q83" s="47">
        <f t="shared" si="21"/>
        <v>50</v>
      </c>
      <c r="R83" s="125">
        <f t="shared" si="22"/>
        <v>100</v>
      </c>
      <c r="S83" s="126">
        <f>+Q83*H5+0.89</f>
        <v>10.39</v>
      </c>
      <c r="T83" s="127">
        <f t="shared" si="23"/>
        <v>10.15</v>
      </c>
    </row>
    <row r="84" spans="1:20" ht="28.5" customHeight="1" x14ac:dyDescent="0.2">
      <c r="A84" s="120">
        <f t="shared" si="27"/>
        <v>133</v>
      </c>
      <c r="B84" s="121">
        <f t="shared" si="28"/>
        <v>133</v>
      </c>
      <c r="C84" s="122" t="s">
        <v>83</v>
      </c>
      <c r="D84" s="123">
        <v>1</v>
      </c>
      <c r="E84" s="70"/>
      <c r="F84" s="137"/>
      <c r="G84" s="137"/>
      <c r="H84" s="137"/>
      <c r="I84" s="137">
        <v>28</v>
      </c>
      <c r="J84" s="137"/>
      <c r="K84" s="137"/>
      <c r="L84" s="137"/>
      <c r="M84" s="137"/>
      <c r="N84" s="65"/>
      <c r="O84" s="66"/>
      <c r="P84" s="67"/>
      <c r="Q84" s="47">
        <f t="shared" si="21"/>
        <v>28</v>
      </c>
      <c r="R84" s="125">
        <f t="shared" si="22"/>
        <v>28</v>
      </c>
      <c r="S84" s="126">
        <f>+Q84*H5+0.42</f>
        <v>5.74</v>
      </c>
      <c r="T84" s="127">
        <f t="shared" si="23"/>
        <v>5.5</v>
      </c>
    </row>
    <row r="85" spans="1:20" ht="28.5" customHeight="1" x14ac:dyDescent="0.2">
      <c r="A85" s="120">
        <f t="shared" si="27"/>
        <v>134</v>
      </c>
      <c r="B85" s="121">
        <f t="shared" si="28"/>
        <v>135</v>
      </c>
      <c r="C85" s="122" t="s">
        <v>82</v>
      </c>
      <c r="D85" s="123">
        <v>2</v>
      </c>
      <c r="E85" s="70"/>
      <c r="F85" s="137"/>
      <c r="G85" s="137"/>
      <c r="H85" s="137"/>
      <c r="I85" s="137"/>
      <c r="J85" s="137">
        <v>50</v>
      </c>
      <c r="K85" s="137"/>
      <c r="L85" s="137"/>
      <c r="M85" s="137"/>
      <c r="N85" s="65"/>
      <c r="O85" s="66"/>
      <c r="P85" s="67"/>
      <c r="Q85" s="47">
        <f t="shared" si="21"/>
        <v>50</v>
      </c>
      <c r="R85" s="125">
        <f t="shared" si="22"/>
        <v>100</v>
      </c>
      <c r="S85" s="126">
        <f>+Q85*I5+0.89</f>
        <v>11.39</v>
      </c>
      <c r="T85" s="127">
        <f t="shared" si="23"/>
        <v>11.15</v>
      </c>
    </row>
    <row r="86" spans="1:20" ht="28.5" customHeight="1" x14ac:dyDescent="0.2">
      <c r="A86" s="120">
        <f t="shared" si="27"/>
        <v>136</v>
      </c>
      <c r="B86" s="121">
        <f t="shared" si="28"/>
        <v>136</v>
      </c>
      <c r="C86" s="122" t="s">
        <v>82</v>
      </c>
      <c r="D86" s="123">
        <v>1</v>
      </c>
      <c r="E86" s="70"/>
      <c r="F86" s="137"/>
      <c r="G86" s="137"/>
      <c r="H86" s="137"/>
      <c r="I86" s="137"/>
      <c r="J86" s="137">
        <v>48</v>
      </c>
      <c r="K86" s="137"/>
      <c r="L86" s="137"/>
      <c r="M86" s="137"/>
      <c r="N86" s="65"/>
      <c r="O86" s="66"/>
      <c r="P86" s="67"/>
      <c r="Q86" s="47">
        <f t="shared" si="21"/>
        <v>48</v>
      </c>
      <c r="R86" s="125">
        <f t="shared" si="22"/>
        <v>48</v>
      </c>
      <c r="S86" s="126">
        <f>+Q86*I5+0.89</f>
        <v>10.97</v>
      </c>
      <c r="T86" s="127">
        <f t="shared" si="23"/>
        <v>10.73</v>
      </c>
    </row>
    <row r="87" spans="1:20" ht="28.5" customHeight="1" x14ac:dyDescent="0.2">
      <c r="A87" s="120">
        <f t="shared" si="27"/>
        <v>137</v>
      </c>
      <c r="B87" s="121">
        <f t="shared" si="28"/>
        <v>140</v>
      </c>
      <c r="C87" s="122" t="s">
        <v>82</v>
      </c>
      <c r="D87" s="123">
        <v>4</v>
      </c>
      <c r="E87" s="70"/>
      <c r="F87" s="137"/>
      <c r="G87" s="137"/>
      <c r="H87" s="137"/>
      <c r="I87" s="137"/>
      <c r="J87" s="137"/>
      <c r="K87" s="137">
        <v>44</v>
      </c>
      <c r="L87" s="137"/>
      <c r="M87" s="137"/>
      <c r="N87" s="65"/>
      <c r="O87" s="66"/>
      <c r="P87" s="67"/>
      <c r="Q87" s="47">
        <f t="shared" si="21"/>
        <v>44</v>
      </c>
      <c r="R87" s="125">
        <f t="shared" si="22"/>
        <v>176</v>
      </c>
      <c r="S87" s="126">
        <f>+Q87*J5+0.89</f>
        <v>10.57</v>
      </c>
      <c r="T87" s="127">
        <f t="shared" si="23"/>
        <v>10.33</v>
      </c>
    </row>
    <row r="88" spans="1:20" ht="28.5" customHeight="1" x14ac:dyDescent="0.2">
      <c r="A88" s="120">
        <f t="shared" si="27"/>
        <v>141</v>
      </c>
      <c r="B88" s="121">
        <f t="shared" si="28"/>
        <v>143</v>
      </c>
      <c r="C88" s="122" t="s">
        <v>82</v>
      </c>
      <c r="D88" s="123">
        <v>3</v>
      </c>
      <c r="E88" s="70"/>
      <c r="F88" s="137"/>
      <c r="G88" s="137"/>
      <c r="H88" s="137"/>
      <c r="I88" s="137"/>
      <c r="J88" s="137"/>
      <c r="K88" s="137"/>
      <c r="L88" s="137">
        <v>44</v>
      </c>
      <c r="M88" s="137"/>
      <c r="N88" s="65"/>
      <c r="O88" s="66"/>
      <c r="P88" s="67"/>
      <c r="Q88" s="47">
        <f t="shared" si="21"/>
        <v>44</v>
      </c>
      <c r="R88" s="125">
        <f t="shared" si="22"/>
        <v>132</v>
      </c>
      <c r="S88" s="126">
        <f>+Q88*L5+0.89</f>
        <v>12.330000000000002</v>
      </c>
      <c r="T88" s="127">
        <f t="shared" si="23"/>
        <v>12.090000000000002</v>
      </c>
    </row>
    <row r="89" spans="1:20" ht="15.75" customHeight="1" thickBot="1" x14ac:dyDescent="0.3">
      <c r="A89" s="178" t="s">
        <v>23</v>
      </c>
      <c r="B89" s="179"/>
      <c r="C89" s="179"/>
      <c r="D89" s="145">
        <f>SUM(D81:D88)</f>
        <v>15</v>
      </c>
      <c r="E89" s="51" t="s">
        <v>13</v>
      </c>
      <c r="F89" s="139"/>
      <c r="G89" s="138">
        <f>+R81</f>
        <v>12</v>
      </c>
      <c r="H89" s="138">
        <f>+R82</f>
        <v>26</v>
      </c>
      <c r="I89" s="138">
        <f>+R83+R84</f>
        <v>128</v>
      </c>
      <c r="J89" s="138">
        <f>+R85+R86</f>
        <v>148</v>
      </c>
      <c r="K89" s="138">
        <f>+R87</f>
        <v>176</v>
      </c>
      <c r="L89" s="138">
        <f>+R88</f>
        <v>132</v>
      </c>
      <c r="M89" s="138"/>
      <c r="N89" s="180"/>
      <c r="O89" s="181"/>
      <c r="P89" s="182"/>
      <c r="Q89" s="143"/>
      <c r="R89" s="80">
        <f>SUM(R81:R88)</f>
        <v>622</v>
      </c>
      <c r="S89" s="53" t="s">
        <v>4</v>
      </c>
      <c r="T89" s="68"/>
    </row>
    <row r="90" spans="1:20" ht="16.7" customHeight="1" x14ac:dyDescent="0.25">
      <c r="A90" s="201" t="s">
        <v>80</v>
      </c>
      <c r="B90" s="201"/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</row>
    <row r="91" spans="1:20" s="91" customFormat="1" ht="16.7" customHeight="1" x14ac:dyDescent="0.25">
      <c r="A91" s="151" t="s">
        <v>0</v>
      </c>
      <c r="B91" s="151"/>
      <c r="C91" s="151"/>
      <c r="D91" s="151" t="str">
        <f>+D68</f>
        <v>OLD NAVY</v>
      </c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</row>
    <row r="92" spans="1:20" s="91" customFormat="1" ht="16.7" customHeight="1" x14ac:dyDescent="0.25">
      <c r="A92" s="151" t="s">
        <v>1</v>
      </c>
      <c r="B92" s="151"/>
      <c r="C92" s="151"/>
      <c r="D92" s="152" t="str">
        <f>+D30</f>
        <v>908546-00-1</v>
      </c>
      <c r="H92" s="92"/>
      <c r="I92" s="92"/>
      <c r="J92" s="92"/>
      <c r="N92" s="93"/>
      <c r="O92" s="93"/>
      <c r="P92" s="93"/>
      <c r="Q92" s="93"/>
      <c r="R92" s="93"/>
      <c r="S92" s="93"/>
    </row>
    <row r="93" spans="1:20" s="91" customFormat="1" ht="16.7" customHeight="1" x14ac:dyDescent="0.25">
      <c r="A93" s="151" t="s">
        <v>2</v>
      </c>
      <c r="B93" s="151"/>
      <c r="C93" s="151"/>
      <c r="D93" s="189">
        <f>+D70</f>
        <v>61429740</v>
      </c>
      <c r="E93" s="189"/>
    </row>
    <row r="94" spans="1:20" s="91" customFormat="1" ht="15" customHeight="1" thickBot="1" x14ac:dyDescent="0.3">
      <c r="A94" s="151" t="s">
        <v>3</v>
      </c>
      <c r="B94" s="151"/>
      <c r="C94" s="151"/>
      <c r="D94" s="93">
        <v>1373</v>
      </c>
      <c r="E94" s="91" t="s">
        <v>4</v>
      </c>
      <c r="N94" s="91" t="s">
        <v>78</v>
      </c>
      <c r="R94" s="190">
        <f>D93</f>
        <v>61429740</v>
      </c>
      <c r="S94" s="190"/>
    </row>
    <row r="95" spans="1:20" s="91" customFormat="1" ht="15" customHeight="1" thickBot="1" x14ac:dyDescent="0.3">
      <c r="A95" s="151" t="s">
        <v>5</v>
      </c>
      <c r="B95" s="151"/>
      <c r="C95" s="151"/>
      <c r="D95" s="93">
        <f>R115</f>
        <v>1471</v>
      </c>
      <c r="E95" s="91" t="s">
        <v>4</v>
      </c>
      <c r="N95" s="91" t="s">
        <v>6</v>
      </c>
      <c r="R95" s="196" t="str">
        <f>D92</f>
        <v>908546-00-1</v>
      </c>
      <c r="S95" s="197"/>
      <c r="T95" s="112"/>
    </row>
    <row r="96" spans="1:20" s="91" customFormat="1" ht="15" customHeight="1" thickBot="1" x14ac:dyDescent="0.3">
      <c r="A96" s="151" t="s">
        <v>7</v>
      </c>
      <c r="B96" s="151"/>
      <c r="C96" s="151"/>
      <c r="D96" s="93">
        <f>D95-D94</f>
        <v>98</v>
      </c>
      <c r="E96" s="91" t="s">
        <v>4</v>
      </c>
      <c r="N96" s="91" t="s">
        <v>60</v>
      </c>
      <c r="R96" s="197" t="s">
        <v>8</v>
      </c>
      <c r="S96" s="197"/>
      <c r="T96" s="112"/>
    </row>
    <row r="97" spans="1:20" s="91" customFormat="1" ht="16.7" customHeight="1" thickBot="1" x14ac:dyDescent="0.3">
      <c r="A97" s="151" t="s">
        <v>9</v>
      </c>
      <c r="B97" s="151"/>
      <c r="C97" s="151"/>
      <c r="D97" s="93">
        <f>D115</f>
        <v>34</v>
      </c>
      <c r="E97" s="91" t="s">
        <v>10</v>
      </c>
      <c r="N97" s="91" t="s">
        <v>11</v>
      </c>
      <c r="R97" s="197" t="s">
        <v>106</v>
      </c>
      <c r="S97" s="197"/>
    </row>
    <row r="98" spans="1:20" s="91" customFormat="1" ht="16.7" customHeight="1" x14ac:dyDescent="0.25">
      <c r="A98" s="151" t="s">
        <v>12</v>
      </c>
      <c r="B98" s="151"/>
      <c r="C98" s="151"/>
      <c r="D98" s="91" t="s">
        <v>64</v>
      </c>
    </row>
    <row r="99" spans="1:20" s="91" customFormat="1" ht="16.7" customHeight="1" x14ac:dyDescent="0.25">
      <c r="A99" s="151" t="s">
        <v>12</v>
      </c>
      <c r="B99" s="151"/>
      <c r="C99" s="151"/>
      <c r="D99" s="91" t="s">
        <v>65</v>
      </c>
    </row>
    <row r="100" spans="1:20" s="91" customFormat="1" ht="16.7" customHeight="1" x14ac:dyDescent="0.25">
      <c r="A100" s="151" t="s">
        <v>12</v>
      </c>
      <c r="B100" s="151"/>
      <c r="C100" s="151"/>
      <c r="D100" s="91" t="s">
        <v>66</v>
      </c>
    </row>
    <row r="101" spans="1:20" s="91" customFormat="1" ht="15" customHeight="1" thickBot="1" x14ac:dyDescent="0.3">
      <c r="A101" s="151" t="s">
        <v>12</v>
      </c>
      <c r="B101" s="151"/>
      <c r="C101" s="151"/>
      <c r="D101" s="91" t="s">
        <v>76</v>
      </c>
    </row>
    <row r="102" spans="1:20" ht="16.7" customHeight="1" x14ac:dyDescent="0.2">
      <c r="A102" s="5" t="s">
        <v>13</v>
      </c>
      <c r="B102" s="44"/>
      <c r="C102" s="6" t="s">
        <v>13</v>
      </c>
      <c r="D102" s="183" t="s">
        <v>14</v>
      </c>
      <c r="E102" s="183" t="s">
        <v>15</v>
      </c>
      <c r="F102" s="169" t="s">
        <v>16</v>
      </c>
      <c r="G102" s="185" t="s">
        <v>17</v>
      </c>
      <c r="H102" s="186"/>
      <c r="I102" s="186"/>
      <c r="J102" s="186"/>
      <c r="K102" s="186"/>
      <c r="L102" s="186"/>
      <c r="M102" s="186"/>
      <c r="N102" s="186"/>
      <c r="O102" s="186"/>
      <c r="P102" s="187"/>
      <c r="Q102" s="183" t="s">
        <v>18</v>
      </c>
      <c r="R102" s="169" t="s">
        <v>19</v>
      </c>
      <c r="S102" s="171" t="s">
        <v>20</v>
      </c>
      <c r="T102" s="173" t="s">
        <v>21</v>
      </c>
    </row>
    <row r="103" spans="1:20" ht="21.75" customHeight="1" thickBot="1" x14ac:dyDescent="0.25">
      <c r="A103" s="153" t="s">
        <v>22</v>
      </c>
      <c r="B103" s="154"/>
      <c r="C103" s="7" t="s">
        <v>58</v>
      </c>
      <c r="D103" s="184"/>
      <c r="E103" s="184"/>
      <c r="F103" s="170"/>
      <c r="G103" s="136" t="str">
        <f t="shared" ref="G103:M103" si="29">+G4</f>
        <v>12-18M</v>
      </c>
      <c r="H103" s="136" t="str">
        <f t="shared" si="29"/>
        <v>18-24M</v>
      </c>
      <c r="I103" s="136" t="str">
        <f t="shared" si="29"/>
        <v>2T</v>
      </c>
      <c r="J103" s="136" t="str">
        <f t="shared" si="29"/>
        <v>3T</v>
      </c>
      <c r="K103" s="136" t="str">
        <f t="shared" si="29"/>
        <v>4T</v>
      </c>
      <c r="L103" s="136" t="str">
        <f t="shared" si="29"/>
        <v>5T</v>
      </c>
      <c r="M103" s="136" t="str">
        <f t="shared" si="29"/>
        <v>6T</v>
      </c>
      <c r="N103" s="175"/>
      <c r="O103" s="176"/>
      <c r="P103" s="177"/>
      <c r="Q103" s="184"/>
      <c r="R103" s="170"/>
      <c r="S103" s="172"/>
      <c r="T103" s="174"/>
    </row>
    <row r="104" spans="1:20" ht="28.5" customHeight="1" x14ac:dyDescent="0.2">
      <c r="A104" s="120">
        <f>+B88+1</f>
        <v>144</v>
      </c>
      <c r="B104" s="121">
        <f>+B88+D104</f>
        <v>144</v>
      </c>
      <c r="C104" s="122" t="s">
        <v>111</v>
      </c>
      <c r="D104" s="123">
        <v>1</v>
      </c>
      <c r="E104" s="70" t="s">
        <v>101</v>
      </c>
      <c r="F104" s="137"/>
      <c r="G104" s="137">
        <v>13</v>
      </c>
      <c r="H104" s="137"/>
      <c r="I104" s="137"/>
      <c r="J104" s="137"/>
      <c r="K104" s="137"/>
      <c r="L104" s="137"/>
      <c r="M104" s="137"/>
      <c r="N104" s="65"/>
      <c r="O104" s="66"/>
      <c r="P104" s="67"/>
      <c r="Q104" s="47">
        <f t="shared" ref="Q104:Q113" si="30">SUM(G104:P104)</f>
        <v>13</v>
      </c>
      <c r="R104" s="125">
        <f t="shared" ref="R104:R113" si="31">Q104*D104</f>
        <v>13</v>
      </c>
      <c r="S104" s="126">
        <f>+Q104*G5+0.42</f>
        <v>2.63</v>
      </c>
      <c r="T104" s="127">
        <f t="shared" ref="T104:T113" si="32">S104-0.24</f>
        <v>2.3899999999999997</v>
      </c>
    </row>
    <row r="105" spans="1:20" ht="28.5" customHeight="1" x14ac:dyDescent="0.2">
      <c r="A105" s="120">
        <f>+B104+1</f>
        <v>145</v>
      </c>
      <c r="B105" s="121">
        <f>+B104+D105</f>
        <v>145</v>
      </c>
      <c r="C105" s="122" t="s">
        <v>82</v>
      </c>
      <c r="D105" s="123">
        <v>1</v>
      </c>
      <c r="E105" s="70"/>
      <c r="F105" s="137"/>
      <c r="G105" s="137"/>
      <c r="H105" s="137">
        <v>60</v>
      </c>
      <c r="I105" s="137"/>
      <c r="J105" s="137"/>
      <c r="K105" s="137"/>
      <c r="L105" s="137"/>
      <c r="M105" s="137"/>
      <c r="N105" s="65"/>
      <c r="O105" s="66"/>
      <c r="P105" s="67"/>
      <c r="Q105" s="47">
        <f>SUM(G105:P105)</f>
        <v>60</v>
      </c>
      <c r="R105" s="125">
        <f t="shared" ref="R105" si="33">Q105*D105</f>
        <v>60</v>
      </c>
      <c r="S105" s="126">
        <f>+Q105*G6+0.42</f>
        <v>9.4200000000000017</v>
      </c>
      <c r="T105" s="127">
        <f t="shared" ref="T105" si="34">S105-0.24</f>
        <v>9.1800000000000015</v>
      </c>
    </row>
    <row r="106" spans="1:20" ht="28.5" customHeight="1" x14ac:dyDescent="0.2">
      <c r="A106" s="120">
        <f t="shared" ref="A106:A114" si="35">+B105+1</f>
        <v>146</v>
      </c>
      <c r="B106" s="121">
        <f t="shared" ref="B106:B114" si="36">+B105+D106</f>
        <v>146</v>
      </c>
      <c r="C106" s="122" t="s">
        <v>81</v>
      </c>
      <c r="D106" s="123">
        <v>1</v>
      </c>
      <c r="E106" s="70"/>
      <c r="F106" s="137"/>
      <c r="G106" s="137"/>
      <c r="H106" s="137">
        <v>21</v>
      </c>
      <c r="I106" s="137"/>
      <c r="J106" s="137"/>
      <c r="K106" s="137"/>
      <c r="L106" s="137"/>
      <c r="M106" s="137"/>
      <c r="N106" s="65"/>
      <c r="O106" s="66"/>
      <c r="P106" s="67"/>
      <c r="Q106" s="47">
        <f t="shared" si="30"/>
        <v>21</v>
      </c>
      <c r="R106" s="125">
        <f t="shared" si="31"/>
        <v>21</v>
      </c>
      <c r="S106" s="126">
        <f>+Q106*H5+0.71</f>
        <v>4.7</v>
      </c>
      <c r="T106" s="127">
        <f t="shared" si="32"/>
        <v>4.46</v>
      </c>
    </row>
    <row r="107" spans="1:20" ht="28.5" customHeight="1" x14ac:dyDescent="0.2">
      <c r="A107" s="120">
        <f t="shared" si="35"/>
        <v>147</v>
      </c>
      <c r="B107" s="121">
        <f t="shared" si="36"/>
        <v>151</v>
      </c>
      <c r="C107" s="122" t="s">
        <v>82</v>
      </c>
      <c r="D107" s="123">
        <v>5</v>
      </c>
      <c r="E107" s="70"/>
      <c r="F107" s="137"/>
      <c r="G107" s="137"/>
      <c r="H107" s="137"/>
      <c r="I107" s="137">
        <v>50</v>
      </c>
      <c r="J107" s="137"/>
      <c r="K107" s="137"/>
      <c r="L107" s="137"/>
      <c r="M107" s="137"/>
      <c r="N107" s="65"/>
      <c r="O107" s="66"/>
      <c r="P107" s="67"/>
      <c r="Q107" s="47">
        <f t="shared" si="30"/>
        <v>50</v>
      </c>
      <c r="R107" s="125">
        <f t="shared" si="31"/>
        <v>250</v>
      </c>
      <c r="S107" s="126">
        <f>+Q107*I5+0.89</f>
        <v>11.39</v>
      </c>
      <c r="T107" s="127">
        <f t="shared" si="32"/>
        <v>11.15</v>
      </c>
    </row>
    <row r="108" spans="1:20" ht="28.5" customHeight="1" x14ac:dyDescent="0.2">
      <c r="A108" s="120">
        <f t="shared" si="35"/>
        <v>152</v>
      </c>
      <c r="B108" s="121">
        <f t="shared" si="36"/>
        <v>152</v>
      </c>
      <c r="C108" s="122" t="s">
        <v>82</v>
      </c>
      <c r="D108" s="123">
        <v>1</v>
      </c>
      <c r="E108" s="70"/>
      <c r="F108" s="137"/>
      <c r="G108" s="137"/>
      <c r="H108" s="137"/>
      <c r="I108" s="137">
        <v>48</v>
      </c>
      <c r="J108" s="137"/>
      <c r="K108" s="137"/>
      <c r="L108" s="137"/>
      <c r="M108" s="137"/>
      <c r="N108" s="65"/>
      <c r="O108" s="66"/>
      <c r="P108" s="67"/>
      <c r="Q108" s="47">
        <f t="shared" si="30"/>
        <v>48</v>
      </c>
      <c r="R108" s="125">
        <f t="shared" si="31"/>
        <v>48</v>
      </c>
      <c r="S108" s="126">
        <f>+Q108*I6+0.89</f>
        <v>10.010000000000002</v>
      </c>
      <c r="T108" s="127">
        <f t="shared" si="32"/>
        <v>9.7700000000000014</v>
      </c>
    </row>
    <row r="109" spans="1:20" ht="28.5" customHeight="1" x14ac:dyDescent="0.2">
      <c r="A109" s="120">
        <f t="shared" si="35"/>
        <v>153</v>
      </c>
      <c r="B109" s="121">
        <f t="shared" si="36"/>
        <v>158</v>
      </c>
      <c r="C109" s="122" t="s">
        <v>82</v>
      </c>
      <c r="D109" s="123">
        <v>6</v>
      </c>
      <c r="E109" s="70"/>
      <c r="F109" s="137"/>
      <c r="G109" s="137"/>
      <c r="H109" s="137"/>
      <c r="I109" s="137"/>
      <c r="J109" s="137">
        <v>50</v>
      </c>
      <c r="K109" s="137"/>
      <c r="L109" s="137"/>
      <c r="M109" s="137"/>
      <c r="N109" s="65"/>
      <c r="O109" s="66"/>
      <c r="P109" s="67"/>
      <c r="Q109" s="47">
        <f t="shared" si="30"/>
        <v>50</v>
      </c>
      <c r="R109" s="125">
        <f t="shared" si="31"/>
        <v>300</v>
      </c>
      <c r="S109" s="126">
        <f>+Q109*J5+0.8</f>
        <v>11.8</v>
      </c>
      <c r="T109" s="127">
        <f t="shared" si="32"/>
        <v>11.56</v>
      </c>
    </row>
    <row r="110" spans="1:20" ht="28.5" customHeight="1" x14ac:dyDescent="0.2">
      <c r="A110" s="120">
        <f t="shared" si="35"/>
        <v>159</v>
      </c>
      <c r="B110" s="121">
        <f t="shared" si="36"/>
        <v>159</v>
      </c>
      <c r="C110" s="122" t="s">
        <v>82</v>
      </c>
      <c r="D110" s="123">
        <v>1</v>
      </c>
      <c r="E110" s="70"/>
      <c r="F110" s="137"/>
      <c r="G110" s="137"/>
      <c r="H110" s="137"/>
      <c r="I110" s="137"/>
      <c r="J110" s="137">
        <v>43</v>
      </c>
      <c r="K110" s="137"/>
      <c r="L110" s="137"/>
      <c r="M110" s="137"/>
      <c r="N110" s="65"/>
      <c r="O110" s="66"/>
      <c r="P110" s="67"/>
      <c r="Q110" s="47">
        <f t="shared" si="30"/>
        <v>43</v>
      </c>
      <c r="R110" s="125">
        <f t="shared" si="31"/>
        <v>43</v>
      </c>
      <c r="S110" s="126">
        <f>+Q110*J5+0.89</f>
        <v>10.350000000000001</v>
      </c>
      <c r="T110" s="127">
        <f t="shared" si="32"/>
        <v>10.110000000000001</v>
      </c>
    </row>
    <row r="111" spans="1:20" ht="28.5" customHeight="1" x14ac:dyDescent="0.2">
      <c r="A111" s="120">
        <f t="shared" si="35"/>
        <v>160</v>
      </c>
      <c r="B111" s="121">
        <f t="shared" si="36"/>
        <v>168</v>
      </c>
      <c r="C111" s="122" t="s">
        <v>82</v>
      </c>
      <c r="D111" s="123">
        <v>9</v>
      </c>
      <c r="E111" s="70"/>
      <c r="F111" s="137"/>
      <c r="G111" s="137"/>
      <c r="H111" s="137"/>
      <c r="I111" s="137"/>
      <c r="J111" s="137"/>
      <c r="K111" s="137">
        <v>44</v>
      </c>
      <c r="L111" s="137"/>
      <c r="M111" s="137"/>
      <c r="N111" s="65"/>
      <c r="O111" s="66"/>
      <c r="P111" s="67"/>
      <c r="Q111" s="47">
        <f t="shared" si="30"/>
        <v>44</v>
      </c>
      <c r="R111" s="125">
        <f t="shared" si="31"/>
        <v>396</v>
      </c>
      <c r="S111" s="126">
        <f>+Q111*K5+0.89</f>
        <v>11.89</v>
      </c>
      <c r="T111" s="127">
        <f t="shared" si="32"/>
        <v>11.65</v>
      </c>
    </row>
    <row r="112" spans="1:20" ht="28.5" customHeight="1" x14ac:dyDescent="0.2">
      <c r="A112" s="120">
        <f t="shared" si="35"/>
        <v>169</v>
      </c>
      <c r="B112" s="121">
        <f t="shared" si="36"/>
        <v>169</v>
      </c>
      <c r="C112" s="122" t="s">
        <v>83</v>
      </c>
      <c r="D112" s="123">
        <v>1</v>
      </c>
      <c r="E112" s="70"/>
      <c r="F112" s="137"/>
      <c r="G112" s="137"/>
      <c r="H112" s="137"/>
      <c r="I112" s="137"/>
      <c r="J112" s="137"/>
      <c r="K112" s="137">
        <v>22</v>
      </c>
      <c r="L112" s="137"/>
      <c r="M112" s="137"/>
      <c r="N112" s="65"/>
      <c r="O112" s="66"/>
      <c r="P112" s="67"/>
      <c r="Q112" s="47">
        <f t="shared" ref="Q112" si="37">SUM(G112:P112)</f>
        <v>22</v>
      </c>
      <c r="R112" s="125">
        <f t="shared" ref="R112" si="38">Q112*D112</f>
        <v>22</v>
      </c>
      <c r="S112" s="126">
        <f>+Q112*K6+0.89</f>
        <v>5.95</v>
      </c>
      <c r="T112" s="127">
        <f t="shared" ref="T112" si="39">S112-0.24</f>
        <v>5.71</v>
      </c>
    </row>
    <row r="113" spans="1:20" ht="28.5" customHeight="1" x14ac:dyDescent="0.2">
      <c r="A113" s="120">
        <f t="shared" si="35"/>
        <v>170</v>
      </c>
      <c r="B113" s="121">
        <f t="shared" si="36"/>
        <v>176</v>
      </c>
      <c r="C113" s="122" t="s">
        <v>82</v>
      </c>
      <c r="D113" s="123">
        <v>7</v>
      </c>
      <c r="E113" s="70"/>
      <c r="F113" s="137"/>
      <c r="G113" s="137"/>
      <c r="H113" s="137"/>
      <c r="I113" s="137"/>
      <c r="J113" s="137"/>
      <c r="K113" s="137"/>
      <c r="L113" s="137">
        <v>44</v>
      </c>
      <c r="M113" s="137"/>
      <c r="N113" s="65"/>
      <c r="O113" s="66"/>
      <c r="P113" s="67"/>
      <c r="Q113" s="47">
        <f t="shared" si="30"/>
        <v>44</v>
      </c>
      <c r="R113" s="125">
        <f t="shared" si="31"/>
        <v>308</v>
      </c>
      <c r="S113" s="126">
        <f>+Q113*L5+0.89</f>
        <v>12.330000000000002</v>
      </c>
      <c r="T113" s="127">
        <f t="shared" si="32"/>
        <v>12.090000000000002</v>
      </c>
    </row>
    <row r="114" spans="1:20" ht="28.5" customHeight="1" x14ac:dyDescent="0.2">
      <c r="A114" s="120">
        <f t="shared" si="35"/>
        <v>177</v>
      </c>
      <c r="B114" s="121">
        <f t="shared" si="36"/>
        <v>177</v>
      </c>
      <c r="C114" s="122" t="s">
        <v>81</v>
      </c>
      <c r="D114" s="123">
        <v>1</v>
      </c>
      <c r="E114" s="70"/>
      <c r="F114" s="137"/>
      <c r="G114" s="137"/>
      <c r="H114" s="137"/>
      <c r="I114" s="137"/>
      <c r="J114" s="137"/>
      <c r="K114" s="137"/>
      <c r="L114" s="137">
        <v>10</v>
      </c>
      <c r="M114" s="137"/>
      <c r="N114" s="65"/>
      <c r="O114" s="66"/>
      <c r="P114" s="67"/>
      <c r="Q114" s="47">
        <f t="shared" ref="Q114" si="40">SUM(G114:P114)</f>
        <v>10</v>
      </c>
      <c r="R114" s="125">
        <f t="shared" ref="R114" si="41">Q114*D114</f>
        <v>10</v>
      </c>
      <c r="S114" s="126">
        <f>+Q114*L5+0.89</f>
        <v>3.49</v>
      </c>
      <c r="T114" s="127">
        <f t="shared" ref="T114" si="42">S114-0.24</f>
        <v>3.25</v>
      </c>
    </row>
    <row r="115" spans="1:20" ht="15.75" customHeight="1" thickBot="1" x14ac:dyDescent="0.3">
      <c r="A115" s="178" t="s">
        <v>23</v>
      </c>
      <c r="B115" s="179"/>
      <c r="C115" s="179"/>
      <c r="D115" s="150">
        <f>SUM(D104:D114)</f>
        <v>34</v>
      </c>
      <c r="E115" s="51" t="s">
        <v>13</v>
      </c>
      <c r="F115" s="139"/>
      <c r="G115" s="138">
        <f>+R104</f>
        <v>13</v>
      </c>
      <c r="H115" s="138">
        <f>+R105+R106</f>
        <v>81</v>
      </c>
      <c r="I115" s="138">
        <f>+R107+R108</f>
        <v>298</v>
      </c>
      <c r="J115" s="138">
        <f>+R109+R110</f>
        <v>343</v>
      </c>
      <c r="K115" s="138">
        <f>+R111+R112</f>
        <v>418</v>
      </c>
      <c r="L115" s="138">
        <f>+R113+R114</f>
        <v>318</v>
      </c>
      <c r="M115" s="138"/>
      <c r="N115" s="180"/>
      <c r="O115" s="181"/>
      <c r="P115" s="182"/>
      <c r="Q115" s="155"/>
      <c r="R115" s="80">
        <f>SUM(R104:R114)</f>
        <v>1471</v>
      </c>
      <c r="S115" s="53" t="s">
        <v>4</v>
      </c>
      <c r="T115" s="68"/>
    </row>
    <row r="116" spans="1:20" ht="16.7" customHeight="1" thickBot="1" x14ac:dyDescent="0.3">
      <c r="A116" s="86"/>
      <c r="B116" s="86"/>
      <c r="C116" s="86"/>
      <c r="D116" s="87"/>
      <c r="E116" s="86"/>
      <c r="F116" s="128"/>
      <c r="G116" s="88"/>
      <c r="H116" s="88"/>
      <c r="I116" s="88"/>
      <c r="J116" s="88"/>
      <c r="K116" s="88"/>
      <c r="L116" s="88"/>
      <c r="M116" s="88"/>
      <c r="N116" s="86"/>
      <c r="O116" s="86"/>
      <c r="P116" s="86"/>
      <c r="Q116" s="86"/>
      <c r="R116" s="87"/>
      <c r="S116" s="89"/>
      <c r="T116" s="89"/>
    </row>
    <row r="117" spans="1:20" ht="20.25" customHeight="1" thickBot="1" x14ac:dyDescent="0.3">
      <c r="A117" s="4"/>
      <c r="B117" s="4"/>
      <c r="C117" s="129"/>
      <c r="D117" s="4"/>
      <c r="E117" s="156" t="s">
        <v>100</v>
      </c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8"/>
      <c r="S117" s="4"/>
      <c r="T117" s="4"/>
    </row>
    <row r="118" spans="1:20" ht="20.25" customHeight="1" thickBot="1" x14ac:dyDescent="0.25">
      <c r="A118" s="4"/>
      <c r="B118" s="4"/>
      <c r="C118" s="130"/>
      <c r="D118" s="4"/>
      <c r="E118" s="159" t="s">
        <v>17</v>
      </c>
      <c r="F118" s="160"/>
      <c r="G118" s="85" t="str">
        <f t="shared" ref="G118:M118" si="43">G4</f>
        <v>12-18M</v>
      </c>
      <c r="H118" s="85" t="str">
        <f t="shared" si="43"/>
        <v>18-24M</v>
      </c>
      <c r="I118" s="85" t="str">
        <f t="shared" si="43"/>
        <v>2T</v>
      </c>
      <c r="J118" s="85" t="str">
        <f t="shared" si="43"/>
        <v>3T</v>
      </c>
      <c r="K118" s="85" t="str">
        <f t="shared" si="43"/>
        <v>4T</v>
      </c>
      <c r="L118" s="85" t="str">
        <f t="shared" si="43"/>
        <v>5T</v>
      </c>
      <c r="M118" s="85" t="str">
        <f t="shared" si="43"/>
        <v>6T</v>
      </c>
      <c r="N118" s="161"/>
      <c r="O118" s="162"/>
      <c r="P118" s="163"/>
      <c r="Q118" s="85"/>
      <c r="R118" s="85" t="s">
        <v>23</v>
      </c>
      <c r="S118" s="4"/>
      <c r="T118" s="4"/>
    </row>
    <row r="119" spans="1:20" ht="20.25" customHeight="1" x14ac:dyDescent="0.2">
      <c r="A119" s="4"/>
      <c r="B119" s="4"/>
      <c r="C119" s="4"/>
      <c r="D119" s="4"/>
      <c r="E119" s="159" t="s">
        <v>24</v>
      </c>
      <c r="F119" s="160"/>
      <c r="G119" s="107">
        <v>252</v>
      </c>
      <c r="H119" s="133">
        <v>266</v>
      </c>
      <c r="I119" s="133">
        <v>388</v>
      </c>
      <c r="J119" s="107">
        <v>635</v>
      </c>
      <c r="K119" s="133">
        <v>676</v>
      </c>
      <c r="L119" s="107">
        <v>618</v>
      </c>
      <c r="M119" s="107"/>
      <c r="N119" s="164"/>
      <c r="O119" s="165"/>
      <c r="P119" s="166"/>
      <c r="Q119" s="48"/>
      <c r="R119" s="94">
        <f>SUM(G119:Q119)</f>
        <v>2835</v>
      </c>
      <c r="S119" s="4"/>
      <c r="T119" s="4"/>
    </row>
    <row r="120" spans="1:20" ht="20.25" customHeight="1" x14ac:dyDescent="0.2">
      <c r="A120" s="4"/>
      <c r="B120" s="4"/>
      <c r="C120" s="4"/>
      <c r="D120" s="4"/>
      <c r="E120" s="159" t="s">
        <v>25</v>
      </c>
      <c r="F120" s="160"/>
      <c r="G120" s="124">
        <f t="shared" ref="G120:L120" si="44">+G89+G65+G26</f>
        <v>259</v>
      </c>
      <c r="H120" s="124">
        <f t="shared" si="44"/>
        <v>273</v>
      </c>
      <c r="I120" s="124">
        <f t="shared" si="44"/>
        <v>399</v>
      </c>
      <c r="J120" s="124">
        <f t="shared" si="44"/>
        <v>654</v>
      </c>
      <c r="K120" s="124">
        <f t="shared" si="44"/>
        <v>692</v>
      </c>
      <c r="L120" s="124">
        <f t="shared" si="44"/>
        <v>634</v>
      </c>
      <c r="M120" s="124"/>
      <c r="N120" s="164"/>
      <c r="O120" s="165"/>
      <c r="P120" s="166"/>
      <c r="Q120" s="98"/>
      <c r="R120" s="95">
        <f>SUM(G120:Q120)</f>
        <v>2911</v>
      </c>
      <c r="S120" s="4"/>
      <c r="T120" s="4"/>
    </row>
    <row r="121" spans="1:20" ht="20.25" customHeight="1" x14ac:dyDescent="0.2">
      <c r="A121" s="4"/>
      <c r="B121" s="4"/>
      <c r="C121" s="4"/>
      <c r="D121" s="4"/>
      <c r="E121" s="159" t="s">
        <v>26</v>
      </c>
      <c r="F121" s="160"/>
      <c r="G121" s="107">
        <f t="shared" ref="G121:L121" si="45">G120-G119</f>
        <v>7</v>
      </c>
      <c r="H121" s="133">
        <f t="shared" ref="H121:I121" si="46">H120-H119</f>
        <v>7</v>
      </c>
      <c r="I121" s="133">
        <f t="shared" si="46"/>
        <v>11</v>
      </c>
      <c r="J121" s="107">
        <f t="shared" si="45"/>
        <v>19</v>
      </c>
      <c r="K121" s="133">
        <f t="shared" ref="K121" si="47">K120-K119</f>
        <v>16</v>
      </c>
      <c r="L121" s="107">
        <f t="shared" si="45"/>
        <v>16</v>
      </c>
      <c r="M121" s="107"/>
      <c r="N121" s="164"/>
      <c r="O121" s="165"/>
      <c r="P121" s="166"/>
      <c r="Q121" s="98"/>
      <c r="R121" s="95">
        <f>SUM(G121:Q121)</f>
        <v>76</v>
      </c>
      <c r="S121" s="4"/>
      <c r="T121" s="4"/>
    </row>
    <row r="122" spans="1:20" ht="20.25" customHeight="1" thickBot="1" x14ac:dyDescent="0.25">
      <c r="A122" s="4"/>
      <c r="B122" s="4"/>
      <c r="C122" s="4"/>
      <c r="D122" s="4"/>
      <c r="E122" s="167" t="s">
        <v>27</v>
      </c>
      <c r="F122" s="168"/>
      <c r="G122" s="131">
        <f t="shared" ref="G122:L122" si="48">G121/G119*100</f>
        <v>2.7777777777777777</v>
      </c>
      <c r="H122" s="131">
        <f t="shared" ref="H122:I122" si="49">H121/H119*100</f>
        <v>2.6315789473684208</v>
      </c>
      <c r="I122" s="131">
        <f t="shared" si="49"/>
        <v>2.8350515463917527</v>
      </c>
      <c r="J122" s="131">
        <f t="shared" si="48"/>
        <v>2.9921259842519685</v>
      </c>
      <c r="K122" s="131">
        <f t="shared" ref="K122" si="50">K121/K119*100</f>
        <v>2.3668639053254439</v>
      </c>
      <c r="L122" s="131">
        <f t="shared" si="48"/>
        <v>2.5889967637540456</v>
      </c>
      <c r="M122" s="131"/>
      <c r="N122" s="161"/>
      <c r="O122" s="162"/>
      <c r="P122" s="163"/>
      <c r="Q122" s="132"/>
      <c r="R122" s="96">
        <f>R121/R119*100</f>
        <v>2.6807760141093473</v>
      </c>
      <c r="S122" s="4"/>
      <c r="T122" s="4"/>
    </row>
    <row r="123" spans="1:20" ht="13.5" thickBot="1" x14ac:dyDescent="0.25"/>
    <row r="124" spans="1:20" ht="20.25" customHeight="1" thickBot="1" x14ac:dyDescent="0.3">
      <c r="A124" s="4"/>
      <c r="B124" s="4"/>
      <c r="C124" s="129"/>
      <c r="D124" s="4"/>
      <c r="E124" s="156" t="s">
        <v>101</v>
      </c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8"/>
      <c r="S124" s="4"/>
      <c r="T124" s="4"/>
    </row>
    <row r="125" spans="1:20" ht="20.25" customHeight="1" thickBot="1" x14ac:dyDescent="0.25">
      <c r="A125" s="4"/>
      <c r="B125" s="4"/>
      <c r="C125" s="130"/>
      <c r="D125" s="4"/>
      <c r="E125" s="159" t="s">
        <v>17</v>
      </c>
      <c r="F125" s="160"/>
      <c r="G125" s="85" t="str">
        <f t="shared" ref="G125:M125" si="51">+G4</f>
        <v>12-18M</v>
      </c>
      <c r="H125" s="85" t="str">
        <f t="shared" si="51"/>
        <v>18-24M</v>
      </c>
      <c r="I125" s="85" t="str">
        <f t="shared" si="51"/>
        <v>2T</v>
      </c>
      <c r="J125" s="85" t="str">
        <f t="shared" si="51"/>
        <v>3T</v>
      </c>
      <c r="K125" s="85" t="str">
        <f t="shared" si="51"/>
        <v>4T</v>
      </c>
      <c r="L125" s="85" t="str">
        <f t="shared" si="51"/>
        <v>5T</v>
      </c>
      <c r="M125" s="85" t="str">
        <f t="shared" si="51"/>
        <v>6T</v>
      </c>
      <c r="N125" s="161"/>
      <c r="O125" s="162"/>
      <c r="P125" s="163"/>
      <c r="Q125" s="85"/>
      <c r="R125" s="85" t="s">
        <v>23</v>
      </c>
      <c r="S125" s="4"/>
      <c r="T125" s="4"/>
    </row>
    <row r="126" spans="1:20" ht="20.25" customHeight="1" x14ac:dyDescent="0.2">
      <c r="A126" s="4"/>
      <c r="B126" s="4"/>
      <c r="C126" s="4"/>
      <c r="D126" s="4"/>
      <c r="E126" s="159" t="s">
        <v>24</v>
      </c>
      <c r="F126" s="160"/>
      <c r="G126" s="133">
        <v>253</v>
      </c>
      <c r="H126" s="133">
        <v>319</v>
      </c>
      <c r="I126" s="133">
        <v>530</v>
      </c>
      <c r="J126" s="133">
        <v>813</v>
      </c>
      <c r="K126" s="133">
        <v>892</v>
      </c>
      <c r="L126" s="133">
        <v>789</v>
      </c>
      <c r="M126" s="133"/>
      <c r="N126" s="164"/>
      <c r="O126" s="165"/>
      <c r="P126" s="166"/>
      <c r="Q126" s="48"/>
      <c r="R126" s="94">
        <f>SUM(G126:Q126)</f>
        <v>3596</v>
      </c>
      <c r="S126" s="4"/>
      <c r="T126" s="4"/>
    </row>
    <row r="127" spans="1:20" ht="20.25" customHeight="1" x14ac:dyDescent="0.2">
      <c r="A127" s="4"/>
      <c r="B127" s="4"/>
      <c r="C127" s="4"/>
      <c r="D127" s="4"/>
      <c r="E127" s="159" t="s">
        <v>25</v>
      </c>
      <c r="F127" s="160"/>
      <c r="G127" s="124">
        <f t="shared" ref="G127:L127" si="52">+G115+G45</f>
        <v>260</v>
      </c>
      <c r="H127" s="124">
        <f t="shared" si="52"/>
        <v>328</v>
      </c>
      <c r="I127" s="124">
        <f t="shared" si="52"/>
        <v>545</v>
      </c>
      <c r="J127" s="124">
        <f t="shared" si="52"/>
        <v>837</v>
      </c>
      <c r="K127" s="124">
        <f t="shared" si="52"/>
        <v>912</v>
      </c>
      <c r="L127" s="124">
        <f t="shared" si="52"/>
        <v>812</v>
      </c>
      <c r="M127" s="124"/>
      <c r="N127" s="164"/>
      <c r="O127" s="165"/>
      <c r="P127" s="166"/>
      <c r="Q127" s="98"/>
      <c r="R127" s="95">
        <f>SUM(G127:Q127)</f>
        <v>3694</v>
      </c>
      <c r="S127" s="4"/>
      <c r="T127" s="4"/>
    </row>
    <row r="128" spans="1:20" ht="20.25" customHeight="1" x14ac:dyDescent="0.2">
      <c r="A128" s="4"/>
      <c r="B128" s="4"/>
      <c r="C128" s="4"/>
      <c r="D128" s="4"/>
      <c r="E128" s="159" t="s">
        <v>26</v>
      </c>
      <c r="F128" s="160"/>
      <c r="G128" s="133">
        <f t="shared" ref="G128:L128" si="53">G127-G126</f>
        <v>7</v>
      </c>
      <c r="H128" s="133">
        <f t="shared" si="53"/>
        <v>9</v>
      </c>
      <c r="I128" s="133">
        <f t="shared" si="53"/>
        <v>15</v>
      </c>
      <c r="J128" s="133">
        <f t="shared" si="53"/>
        <v>24</v>
      </c>
      <c r="K128" s="133">
        <f t="shared" ref="K128" si="54">K127-K126</f>
        <v>20</v>
      </c>
      <c r="L128" s="133">
        <f t="shared" si="53"/>
        <v>23</v>
      </c>
      <c r="M128" s="133"/>
      <c r="N128" s="164"/>
      <c r="O128" s="165"/>
      <c r="P128" s="166"/>
      <c r="Q128" s="98"/>
      <c r="R128" s="95">
        <f>SUM(G128:Q128)</f>
        <v>98</v>
      </c>
      <c r="S128" s="4"/>
      <c r="T128" s="4"/>
    </row>
    <row r="129" spans="1:20" ht="20.25" customHeight="1" thickBot="1" x14ac:dyDescent="0.25">
      <c r="A129" s="4"/>
      <c r="B129" s="4"/>
      <c r="C129" s="4"/>
      <c r="D129" s="4"/>
      <c r="E129" s="167" t="s">
        <v>27</v>
      </c>
      <c r="F129" s="168"/>
      <c r="G129" s="131">
        <f t="shared" ref="G129:L129" si="55">G128/G126*100</f>
        <v>2.766798418972332</v>
      </c>
      <c r="H129" s="131">
        <f t="shared" si="55"/>
        <v>2.8213166144200628</v>
      </c>
      <c r="I129" s="131">
        <f t="shared" si="55"/>
        <v>2.8301886792452833</v>
      </c>
      <c r="J129" s="131">
        <f t="shared" si="55"/>
        <v>2.9520295202952029</v>
      </c>
      <c r="K129" s="131">
        <f t="shared" ref="K129" si="56">K128/K126*100</f>
        <v>2.2421524663677128</v>
      </c>
      <c r="L129" s="131">
        <f t="shared" si="55"/>
        <v>2.915082382762991</v>
      </c>
      <c r="M129" s="131"/>
      <c r="N129" s="161"/>
      <c r="O129" s="162"/>
      <c r="P129" s="163"/>
      <c r="Q129" s="132"/>
      <c r="R129" s="96">
        <f>R128/R126*100</f>
        <v>2.7252502780867633</v>
      </c>
      <c r="S129" s="4"/>
      <c r="T129" s="4"/>
    </row>
    <row r="130" spans="1:20" ht="13.5" thickBot="1" x14ac:dyDescent="0.25"/>
    <row r="131" spans="1:20" ht="20.25" customHeight="1" thickBot="1" x14ac:dyDescent="0.3">
      <c r="A131" s="4"/>
      <c r="B131" s="4"/>
      <c r="C131" s="129"/>
      <c r="D131" s="4"/>
      <c r="E131" s="156" t="s">
        <v>92</v>
      </c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8"/>
      <c r="S131" s="4"/>
      <c r="T131" s="4"/>
    </row>
    <row r="132" spans="1:20" ht="20.25" customHeight="1" thickBot="1" x14ac:dyDescent="0.25">
      <c r="A132" s="4"/>
      <c r="B132" s="4"/>
      <c r="C132" s="130"/>
      <c r="D132" s="4"/>
      <c r="E132" s="159" t="s">
        <v>17</v>
      </c>
      <c r="F132" s="160"/>
      <c r="G132" s="85" t="str">
        <f t="shared" ref="G132:M132" si="57">+G4</f>
        <v>12-18M</v>
      </c>
      <c r="H132" s="85" t="str">
        <f t="shared" si="57"/>
        <v>18-24M</v>
      </c>
      <c r="I132" s="85" t="str">
        <f t="shared" si="57"/>
        <v>2T</v>
      </c>
      <c r="J132" s="85" t="str">
        <f t="shared" si="57"/>
        <v>3T</v>
      </c>
      <c r="K132" s="85" t="str">
        <f t="shared" si="57"/>
        <v>4T</v>
      </c>
      <c r="L132" s="85" t="str">
        <f t="shared" si="57"/>
        <v>5T</v>
      </c>
      <c r="M132" s="85" t="str">
        <f t="shared" si="57"/>
        <v>6T</v>
      </c>
      <c r="N132" s="161"/>
      <c r="O132" s="162"/>
      <c r="P132" s="163"/>
      <c r="Q132" s="85"/>
      <c r="R132" s="85" t="s">
        <v>23</v>
      </c>
      <c r="S132" s="4"/>
      <c r="T132" s="4"/>
    </row>
    <row r="133" spans="1:20" ht="20.25" customHeight="1" x14ac:dyDescent="0.2">
      <c r="A133" s="4"/>
      <c r="B133" s="4"/>
      <c r="C133" s="4"/>
      <c r="D133" s="4"/>
      <c r="E133" s="159" t="s">
        <v>24</v>
      </c>
      <c r="F133" s="160"/>
      <c r="G133" s="133">
        <f>+G126+G119</f>
        <v>505</v>
      </c>
      <c r="H133" s="133">
        <f t="shared" ref="H133:L133" si="58">+H126+H119</f>
        <v>585</v>
      </c>
      <c r="I133" s="133">
        <f t="shared" si="58"/>
        <v>918</v>
      </c>
      <c r="J133" s="133">
        <f t="shared" si="58"/>
        <v>1448</v>
      </c>
      <c r="K133" s="133">
        <f t="shared" ref="K133:L134" si="59">+K126+K119</f>
        <v>1568</v>
      </c>
      <c r="L133" s="133">
        <f t="shared" si="58"/>
        <v>1407</v>
      </c>
      <c r="M133" s="133"/>
      <c r="N133" s="164"/>
      <c r="O133" s="165"/>
      <c r="P133" s="166"/>
      <c r="Q133" s="48"/>
      <c r="R133" s="94">
        <f>SUM(G133:Q133)</f>
        <v>6431</v>
      </c>
      <c r="S133" s="4"/>
      <c r="T133" s="4"/>
    </row>
    <row r="134" spans="1:20" ht="20.25" customHeight="1" x14ac:dyDescent="0.2">
      <c r="A134" s="4"/>
      <c r="B134" s="4"/>
      <c r="C134" s="4"/>
      <c r="D134" s="4"/>
      <c r="E134" s="159" t="s">
        <v>25</v>
      </c>
      <c r="F134" s="160"/>
      <c r="G134" s="124">
        <f>+G127+G120</f>
        <v>519</v>
      </c>
      <c r="H134" s="124">
        <f t="shared" ref="H134:J134" si="60">+H127+H120</f>
        <v>601</v>
      </c>
      <c r="I134" s="124">
        <f t="shared" si="60"/>
        <v>944</v>
      </c>
      <c r="J134" s="124">
        <f t="shared" si="60"/>
        <v>1491</v>
      </c>
      <c r="K134" s="124">
        <f t="shared" si="59"/>
        <v>1604</v>
      </c>
      <c r="L134" s="124">
        <f t="shared" si="59"/>
        <v>1446</v>
      </c>
      <c r="M134" s="124"/>
      <c r="N134" s="164"/>
      <c r="O134" s="165"/>
      <c r="P134" s="166"/>
      <c r="Q134" s="98"/>
      <c r="R134" s="95">
        <f>SUM(G134:Q134)</f>
        <v>6605</v>
      </c>
      <c r="S134" s="4"/>
      <c r="T134" s="4"/>
    </row>
    <row r="135" spans="1:20" ht="20.25" customHeight="1" x14ac:dyDescent="0.2">
      <c r="A135" s="4"/>
      <c r="B135" s="4"/>
      <c r="C135" s="4"/>
      <c r="D135" s="4"/>
      <c r="E135" s="159" t="s">
        <v>26</v>
      </c>
      <c r="F135" s="160"/>
      <c r="G135" s="133">
        <f t="shared" ref="G135:L135" si="61">G134-G133</f>
        <v>14</v>
      </c>
      <c r="H135" s="133">
        <f t="shared" si="61"/>
        <v>16</v>
      </c>
      <c r="I135" s="133">
        <f t="shared" si="61"/>
        <v>26</v>
      </c>
      <c r="J135" s="133">
        <f t="shared" si="61"/>
        <v>43</v>
      </c>
      <c r="K135" s="133">
        <f t="shared" ref="K135" si="62">K134-K133</f>
        <v>36</v>
      </c>
      <c r="L135" s="133">
        <f t="shared" si="61"/>
        <v>39</v>
      </c>
      <c r="M135" s="133"/>
      <c r="N135" s="164"/>
      <c r="O135" s="165"/>
      <c r="P135" s="166"/>
      <c r="Q135" s="98"/>
      <c r="R135" s="95">
        <f>SUM(G135:Q135)</f>
        <v>174</v>
      </c>
      <c r="S135" s="4"/>
      <c r="T135" s="4"/>
    </row>
    <row r="136" spans="1:20" ht="20.25" customHeight="1" thickBot="1" x14ac:dyDescent="0.25">
      <c r="A136" s="4"/>
      <c r="B136" s="4"/>
      <c r="C136" s="4"/>
      <c r="D136" s="4"/>
      <c r="E136" s="167" t="s">
        <v>27</v>
      </c>
      <c r="F136" s="168"/>
      <c r="G136" s="131">
        <f t="shared" ref="G136:L136" si="63">G135/G133*100</f>
        <v>2.7722772277227725</v>
      </c>
      <c r="H136" s="131">
        <f t="shared" si="63"/>
        <v>2.7350427350427351</v>
      </c>
      <c r="I136" s="131">
        <f t="shared" si="63"/>
        <v>2.8322440087145968</v>
      </c>
      <c r="J136" s="131">
        <f t="shared" si="63"/>
        <v>2.9696132596685083</v>
      </c>
      <c r="K136" s="131">
        <f t="shared" ref="K136" si="64">K135/K133*100</f>
        <v>2.295918367346939</v>
      </c>
      <c r="L136" s="131">
        <f t="shared" si="63"/>
        <v>2.7718550106609809</v>
      </c>
      <c r="M136" s="131"/>
      <c r="N136" s="161"/>
      <c r="O136" s="162"/>
      <c r="P136" s="163"/>
      <c r="Q136" s="132"/>
      <c r="R136" s="96">
        <f>R135/R133*100</f>
        <v>2.705644534287047</v>
      </c>
      <c r="S136" s="4"/>
      <c r="T136" s="4"/>
    </row>
  </sheetData>
  <mergeCells count="123">
    <mergeCell ref="A115:C115"/>
    <mergeCell ref="N115:P115"/>
    <mergeCell ref="A90:T90"/>
    <mergeCell ref="D93:E93"/>
    <mergeCell ref="R94:S94"/>
    <mergeCell ref="R95:S95"/>
    <mergeCell ref="R96:S96"/>
    <mergeCell ref="R97:S97"/>
    <mergeCell ref="D102:D103"/>
    <mergeCell ref="E102:E103"/>
    <mergeCell ref="F102:F103"/>
    <mergeCell ref="G102:P102"/>
    <mergeCell ref="Q102:Q103"/>
    <mergeCell ref="R102:R103"/>
    <mergeCell ref="S102:S103"/>
    <mergeCell ref="T102:T103"/>
    <mergeCell ref="N103:P103"/>
    <mergeCell ref="A1:T1"/>
    <mergeCell ref="A2:T2"/>
    <mergeCell ref="R51:S51"/>
    <mergeCell ref="D50:E50"/>
    <mergeCell ref="D7:E7"/>
    <mergeCell ref="A9:T9"/>
    <mergeCell ref="R14:S14"/>
    <mergeCell ref="R15:S15"/>
    <mergeCell ref="R16:S16"/>
    <mergeCell ref="R13:S13"/>
    <mergeCell ref="D22:D23"/>
    <mergeCell ref="E22:E23"/>
    <mergeCell ref="F22:F23"/>
    <mergeCell ref="D11:E11"/>
    <mergeCell ref="G22:M22"/>
    <mergeCell ref="N26:P26"/>
    <mergeCell ref="D12:E12"/>
    <mergeCell ref="S22:S23"/>
    <mergeCell ref="T22:T23"/>
    <mergeCell ref="N22:P23"/>
    <mergeCell ref="R72:S72"/>
    <mergeCell ref="R73:S73"/>
    <mergeCell ref="R74:S74"/>
    <mergeCell ref="S41:S42"/>
    <mergeCell ref="T41:T42"/>
    <mergeCell ref="A45:C45"/>
    <mergeCell ref="N45:P45"/>
    <mergeCell ref="A67:T67"/>
    <mergeCell ref="F41:F42"/>
    <mergeCell ref="R54:S54"/>
    <mergeCell ref="D59:D60"/>
    <mergeCell ref="A47:T47"/>
    <mergeCell ref="S59:S60"/>
    <mergeCell ref="T59:T60"/>
    <mergeCell ref="N60:P60"/>
    <mergeCell ref="E59:E60"/>
    <mergeCell ref="G41:M41"/>
    <mergeCell ref="N41:P42"/>
    <mergeCell ref="Q41:Q42"/>
    <mergeCell ref="R41:R42"/>
    <mergeCell ref="F59:F60"/>
    <mergeCell ref="R52:S52"/>
    <mergeCell ref="R53:S53"/>
    <mergeCell ref="G59:P59"/>
    <mergeCell ref="A65:C65"/>
    <mergeCell ref="N65:P65"/>
    <mergeCell ref="D41:D42"/>
    <mergeCell ref="E41:E42"/>
    <mergeCell ref="D70:E70"/>
    <mergeCell ref="R71:S71"/>
    <mergeCell ref="R22:R23"/>
    <mergeCell ref="A26:C26"/>
    <mergeCell ref="Q22:Q23"/>
    <mergeCell ref="A28:T28"/>
    <mergeCell ref="D30:E30"/>
    <mergeCell ref="D31:E31"/>
    <mergeCell ref="R32:S32"/>
    <mergeCell ref="R33:S33"/>
    <mergeCell ref="R34:S34"/>
    <mergeCell ref="R35:S35"/>
    <mergeCell ref="Q59:Q60"/>
    <mergeCell ref="R59:R60"/>
    <mergeCell ref="R79:R80"/>
    <mergeCell ref="S79:S80"/>
    <mergeCell ref="T79:T80"/>
    <mergeCell ref="N80:P80"/>
    <mergeCell ref="A89:C89"/>
    <mergeCell ref="N89:P89"/>
    <mergeCell ref="D79:D80"/>
    <mergeCell ref="E79:E80"/>
    <mergeCell ref="F79:F80"/>
    <mergeCell ref="G79:P79"/>
    <mergeCell ref="Q79:Q80"/>
    <mergeCell ref="E117:R117"/>
    <mergeCell ref="E118:F118"/>
    <mergeCell ref="N118:P118"/>
    <mergeCell ref="E119:F119"/>
    <mergeCell ref="E120:F120"/>
    <mergeCell ref="N120:P120"/>
    <mergeCell ref="N119:P119"/>
    <mergeCell ref="E136:F136"/>
    <mergeCell ref="N136:P136"/>
    <mergeCell ref="E131:R131"/>
    <mergeCell ref="E132:F132"/>
    <mergeCell ref="N132:P132"/>
    <mergeCell ref="E133:F133"/>
    <mergeCell ref="N133:P133"/>
    <mergeCell ref="E127:F127"/>
    <mergeCell ref="N127:P127"/>
    <mergeCell ref="E128:F128"/>
    <mergeCell ref="N128:P128"/>
    <mergeCell ref="E129:F129"/>
    <mergeCell ref="N129:P129"/>
    <mergeCell ref="E134:F134"/>
    <mergeCell ref="N134:P134"/>
    <mergeCell ref="E135:F135"/>
    <mergeCell ref="N135:P135"/>
    <mergeCell ref="E124:R124"/>
    <mergeCell ref="E125:F125"/>
    <mergeCell ref="N125:P125"/>
    <mergeCell ref="E126:F126"/>
    <mergeCell ref="N126:P126"/>
    <mergeCell ref="E122:F122"/>
    <mergeCell ref="N122:P122"/>
    <mergeCell ref="E121:F121"/>
    <mergeCell ref="N121:P121"/>
  </mergeCells>
  <conditionalFormatting sqref="R118">
    <cfRule type="expression" dxfId="20" priority="554">
      <formula>$R118="CANCEL"</formula>
    </cfRule>
    <cfRule type="expression" dxfId="19" priority="555">
      <formula>#REF!="Closed"</formula>
    </cfRule>
    <cfRule type="expression" dxfId="18" priority="556">
      <formula>#REF!="Delayed"</formula>
    </cfRule>
    <cfRule type="expression" dxfId="17" priority="557">
      <formula>IF(ISNUMBER(#REF!),#REF!&gt;#REF!,0)</formula>
    </cfRule>
    <cfRule type="expression" dxfId="16" priority="558">
      <formula>#REF!="Cut-off"</formula>
    </cfRule>
    <cfRule type="expression" dxfId="15" priority="559">
      <formula>#REF!="In Week"</formula>
    </cfRule>
    <cfRule type="expression" dxfId="14" priority="560">
      <formula>#REF!="Missed"</formula>
    </cfRule>
  </conditionalFormatting>
  <conditionalFormatting sqref="R125 G126:M126 G119:M119">
    <cfRule type="expression" dxfId="13" priority="764">
      <formula>$R119="CANCEL"</formula>
    </cfRule>
    <cfRule type="expression" dxfId="12" priority="765">
      <formula>$W65="Closed"</formula>
    </cfRule>
    <cfRule type="expression" dxfId="11" priority="766">
      <formula>$W65="Delayed"</formula>
    </cfRule>
    <cfRule type="expression" dxfId="10" priority="767">
      <formula>IF(ISNUMBER(#REF!),$X65&gt;$V65,0)</formula>
    </cfRule>
    <cfRule type="expression" dxfId="9" priority="768">
      <formula>$W65="Cut-off"</formula>
    </cfRule>
    <cfRule type="expression" dxfId="8" priority="769">
      <formula>$W65="In Week"</formula>
    </cfRule>
    <cfRule type="expression" dxfId="7" priority="770">
      <formula>$W65="Missed"</formula>
    </cfRule>
  </conditionalFormatting>
  <conditionalFormatting sqref="R132 G133:M133">
    <cfRule type="expression" dxfId="6" priority="785">
      <formula>$R132="CANCEL"</formula>
    </cfRule>
    <cfRule type="expression" dxfId="5" priority="786">
      <formula>$W79="Closed"</formula>
    </cfRule>
    <cfRule type="expression" dxfId="4" priority="787">
      <formula>$W79="Delayed"</formula>
    </cfRule>
    <cfRule type="expression" dxfId="3" priority="788">
      <formula>IF(ISNUMBER(#REF!),$X79&gt;$V79,0)</formula>
    </cfRule>
    <cfRule type="expression" dxfId="2" priority="789">
      <formula>$W79="Cut-off"</formula>
    </cfRule>
    <cfRule type="expression" dxfId="1" priority="790">
      <formula>$W79="In Week"</formula>
    </cfRule>
    <cfRule type="expression" dxfId="0" priority="791">
      <formula>$W79="Missed"</formula>
    </cfRule>
  </conditionalFormatting>
  <printOptions horizontalCentered="1"/>
  <pageMargins left="0.22" right="0.23" top="0.35" bottom="0.34" header="0.3" footer="0.3"/>
  <pageSetup paperSize="9" scale="51" fitToHeight="8" orientation="portrait" r:id="rId1"/>
  <rowBreaks count="1" manualBreakCount="1">
    <brk id="65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43"/>
  <sheetViews>
    <sheetView view="pageBreakPreview" zoomScaleNormal="100" zoomScaleSheetLayoutView="100" workbookViewId="0">
      <selection activeCell="A3" sqref="A3:J3"/>
    </sheetView>
  </sheetViews>
  <sheetFormatPr defaultRowHeight="12.75" x14ac:dyDescent="0.2"/>
  <cols>
    <col min="1" max="1" width="16.28515625" style="2" customWidth="1"/>
    <col min="2" max="2" width="15.140625" style="2" customWidth="1"/>
    <col min="3" max="3" width="11.85546875" style="2" customWidth="1"/>
    <col min="4" max="4" width="32" style="2" customWidth="1"/>
    <col min="5" max="5" width="11" style="2" bestFit="1" customWidth="1"/>
    <col min="6" max="6" width="11.140625" style="2" customWidth="1"/>
    <col min="7" max="7" width="8.28515625" style="2" bestFit="1" customWidth="1"/>
    <col min="8" max="8" width="8.7109375" style="2" bestFit="1" customWidth="1"/>
    <col min="9" max="9" width="8.7109375" style="2" customWidth="1"/>
    <col min="10" max="10" width="9.140625" style="2" customWidth="1"/>
    <col min="11" max="16384" width="9.140625" style="2"/>
  </cols>
  <sheetData>
    <row r="3" spans="1:10" ht="26.25" x14ac:dyDescent="0.2">
      <c r="A3" s="215" t="s">
        <v>72</v>
      </c>
      <c r="B3" s="215"/>
      <c r="C3" s="215"/>
      <c r="D3" s="215"/>
      <c r="E3" s="215"/>
      <c r="F3" s="215"/>
      <c r="G3" s="215"/>
      <c r="H3" s="215"/>
      <c r="I3" s="215"/>
      <c r="J3" s="215"/>
    </row>
    <row r="4" spans="1:10" x14ac:dyDescent="0.2">
      <c r="A4" s="216" t="s">
        <v>35</v>
      </c>
      <c r="B4" s="216"/>
      <c r="C4" s="216"/>
      <c r="D4" s="216"/>
      <c r="E4" s="216"/>
      <c r="F4" s="216"/>
      <c r="G4" s="216"/>
      <c r="H4" s="216"/>
      <c r="I4" s="216"/>
      <c r="J4" s="216"/>
    </row>
    <row r="5" spans="1:10" ht="15.75" x14ac:dyDescent="0.2">
      <c r="A5" s="217" t="s">
        <v>29</v>
      </c>
      <c r="B5" s="217"/>
      <c r="C5" s="217"/>
      <c r="D5" s="217"/>
      <c r="E5" s="217"/>
      <c r="F5" s="217"/>
      <c r="G5" s="217"/>
      <c r="H5" s="217"/>
      <c r="I5" s="217"/>
      <c r="J5" s="217"/>
    </row>
    <row r="6" spans="1:10" ht="16.5" thickBo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ht="21.75" thickBot="1" x14ac:dyDescent="0.25">
      <c r="A7" s="14" t="s">
        <v>36</v>
      </c>
      <c r="B7" s="15" t="str">
        <f>PKL.!D10</f>
        <v>OLD NAVY</v>
      </c>
      <c r="C7" s="39"/>
      <c r="D7" s="17"/>
      <c r="E7" s="17"/>
      <c r="F7" s="17"/>
      <c r="G7" s="17"/>
      <c r="H7" s="17"/>
      <c r="I7" s="17"/>
      <c r="J7" s="17"/>
    </row>
    <row r="8" spans="1:10" ht="21.75" thickBot="1" x14ac:dyDescent="0.25">
      <c r="A8" s="16" t="s">
        <v>37</v>
      </c>
      <c r="B8" s="15">
        <v>897514</v>
      </c>
      <c r="C8" s="40"/>
      <c r="D8" s="17"/>
      <c r="E8" s="17"/>
      <c r="F8" s="17"/>
      <c r="G8" s="17"/>
      <c r="H8" s="18" t="s">
        <v>38</v>
      </c>
      <c r="I8" s="213" t="s">
        <v>90</v>
      </c>
      <c r="J8" s="214"/>
    </row>
    <row r="9" spans="1:10" ht="16.5" thickBot="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 ht="16.5" thickTop="1" thickBot="1" x14ac:dyDescent="0.25">
      <c r="A10" s="54" t="s">
        <v>39</v>
      </c>
      <c r="B10" s="55" t="s">
        <v>40</v>
      </c>
      <c r="C10" s="55" t="s">
        <v>59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30</v>
      </c>
      <c r="I10" s="58" t="s">
        <v>45</v>
      </c>
      <c r="J10" s="59" t="s">
        <v>10</v>
      </c>
    </row>
    <row r="11" spans="1:10" ht="15.75" thickTop="1" x14ac:dyDescent="0.2">
      <c r="A11" s="19" t="s">
        <v>88</v>
      </c>
      <c r="B11" s="20">
        <v>61194555</v>
      </c>
      <c r="C11" s="20" t="s">
        <v>87</v>
      </c>
      <c r="D11" s="10" t="s">
        <v>84</v>
      </c>
      <c r="E11" s="63">
        <v>1776</v>
      </c>
      <c r="F11" s="63">
        <v>1776</v>
      </c>
      <c r="G11" s="21">
        <f>F11-E11</f>
        <v>0</v>
      </c>
      <c r="H11" s="21">
        <v>0</v>
      </c>
      <c r="I11" s="22">
        <f>G11/E11</f>
        <v>0</v>
      </c>
      <c r="J11" s="23">
        <v>32</v>
      </c>
    </row>
    <row r="12" spans="1:10" ht="15" x14ac:dyDescent="0.2">
      <c r="A12" s="19" t="s">
        <v>89</v>
      </c>
      <c r="B12" s="20" t="s">
        <v>85</v>
      </c>
      <c r="C12" s="134" t="s">
        <v>86</v>
      </c>
      <c r="D12" s="134" t="s">
        <v>86</v>
      </c>
      <c r="E12" s="63">
        <v>622</v>
      </c>
      <c r="F12" s="63">
        <v>622</v>
      </c>
      <c r="G12" s="21">
        <f>F12-E12</f>
        <v>0</v>
      </c>
      <c r="H12" s="21">
        <v>0</v>
      </c>
      <c r="I12" s="22">
        <f>G12/E12</f>
        <v>0</v>
      </c>
      <c r="J12" s="23">
        <v>13</v>
      </c>
    </row>
    <row r="13" spans="1:10" ht="15.75" thickBot="1" x14ac:dyDescent="0.25">
      <c r="A13" s="60"/>
      <c r="B13" s="61"/>
      <c r="C13" s="61"/>
      <c r="D13" s="62" t="s">
        <v>23</v>
      </c>
      <c r="E13" s="62">
        <f>SUM(E11:E12)</f>
        <v>2398</v>
      </c>
      <c r="F13" s="62">
        <f t="shared" ref="F13:G13" si="0">SUM(F11:F12)</f>
        <v>2398</v>
      </c>
      <c r="G13" s="62">
        <f t="shared" si="0"/>
        <v>0</v>
      </c>
      <c r="H13" s="62">
        <f>SUM(H11:H11)</f>
        <v>0</v>
      </c>
      <c r="I13" s="64">
        <f>H13/E13</f>
        <v>0</v>
      </c>
      <c r="J13" s="62">
        <f>SUM(J11:J12)</f>
        <v>45</v>
      </c>
    </row>
    <row r="14" spans="1:10" ht="13.5" thickTop="1" x14ac:dyDescent="0.2">
      <c r="A14" s="13"/>
      <c r="B14" s="13"/>
      <c r="C14" s="13"/>
      <c r="D14" s="13"/>
      <c r="E14" s="13"/>
      <c r="F14" s="13"/>
      <c r="G14" s="13"/>
      <c r="H14" s="13"/>
      <c r="I14" s="3"/>
      <c r="J14" s="13"/>
    </row>
    <row r="15" spans="1:10" x14ac:dyDescent="0.2">
      <c r="A15" s="13"/>
      <c r="B15" s="13"/>
      <c r="C15" s="13"/>
      <c r="D15" s="13"/>
      <c r="E15" s="13"/>
      <c r="F15" s="13"/>
      <c r="G15" s="13"/>
      <c r="H15" s="13"/>
      <c r="I15" s="3"/>
      <c r="J15" s="13"/>
    </row>
    <row r="16" spans="1:10" x14ac:dyDescent="0.2">
      <c r="A16" s="13"/>
      <c r="B16" s="13"/>
      <c r="C16" s="13"/>
      <c r="D16" s="13"/>
      <c r="E16" s="13"/>
      <c r="F16" s="13"/>
      <c r="G16" s="13"/>
      <c r="H16" s="13"/>
      <c r="I16" s="3"/>
      <c r="J16" s="13"/>
    </row>
    <row r="17" spans="1:10" x14ac:dyDescent="0.2">
      <c r="A17" s="13"/>
      <c r="B17" s="13"/>
      <c r="C17" s="13"/>
      <c r="D17" s="13"/>
      <c r="E17" s="13"/>
      <c r="F17" s="13"/>
      <c r="G17" s="13"/>
      <c r="H17" s="13"/>
      <c r="I17" s="3"/>
      <c r="J17" s="13"/>
    </row>
    <row r="18" spans="1:10" ht="13.5" thickBot="1" x14ac:dyDescent="0.25">
      <c r="A18" s="13"/>
      <c r="B18" s="13"/>
      <c r="C18" s="13"/>
      <c r="D18" s="13"/>
      <c r="E18" s="13"/>
      <c r="F18" s="13"/>
      <c r="G18" s="13"/>
      <c r="H18" s="13"/>
      <c r="I18" s="3"/>
      <c r="J18" s="13"/>
    </row>
    <row r="19" spans="1:10" ht="14.25" thickTop="1" thickBot="1" x14ac:dyDescent="0.25">
      <c r="A19" s="13"/>
      <c r="B19" s="24" t="s">
        <v>46</v>
      </c>
      <c r="C19" s="41"/>
      <c r="D19" s="25" t="s">
        <v>31</v>
      </c>
      <c r="E19" s="25" t="s">
        <v>32</v>
      </c>
      <c r="F19" s="25" t="s">
        <v>22</v>
      </c>
      <c r="G19" s="219" t="s">
        <v>33</v>
      </c>
      <c r="H19" s="220"/>
      <c r="I19" s="221"/>
      <c r="J19" s="13"/>
    </row>
    <row r="20" spans="1:10" ht="13.5" thickTop="1" x14ac:dyDescent="0.2">
      <c r="A20" s="1"/>
      <c r="B20" s="26">
        <v>1</v>
      </c>
      <c r="C20" s="42"/>
      <c r="D20" s="10" t="s">
        <v>47</v>
      </c>
      <c r="E20" s="27"/>
      <c r="F20" s="27"/>
      <c r="G20" s="222"/>
      <c r="H20" s="223"/>
      <c r="I20" s="224"/>
      <c r="J20" s="13"/>
    </row>
    <row r="21" spans="1:10" x14ac:dyDescent="0.2">
      <c r="A21" s="1"/>
      <c r="B21" s="28">
        <v>2</v>
      </c>
      <c r="C21" s="38"/>
      <c r="D21" s="11" t="s">
        <v>48</v>
      </c>
      <c r="E21" s="12"/>
      <c r="F21" s="12"/>
      <c r="G21" s="225"/>
      <c r="H21" s="226"/>
      <c r="I21" s="227"/>
      <c r="J21" s="13"/>
    </row>
    <row r="22" spans="1:10" x14ac:dyDescent="0.2">
      <c r="A22" s="13"/>
      <c r="B22" s="28">
        <v>3</v>
      </c>
      <c r="C22" s="38"/>
      <c r="D22" s="11" t="s">
        <v>49</v>
      </c>
      <c r="E22" s="12"/>
      <c r="F22" s="12"/>
      <c r="G22" s="225"/>
      <c r="H22" s="226"/>
      <c r="I22" s="227"/>
      <c r="J22" s="13"/>
    </row>
    <row r="23" spans="1:10" x14ac:dyDescent="0.2">
      <c r="A23" s="13"/>
      <c r="B23" s="28">
        <v>4</v>
      </c>
      <c r="C23" s="38"/>
      <c r="D23" s="11" t="s">
        <v>50</v>
      </c>
      <c r="E23" s="12"/>
      <c r="F23" s="12"/>
      <c r="G23" s="225"/>
      <c r="H23" s="226"/>
      <c r="I23" s="227"/>
      <c r="J23" s="13"/>
    </row>
    <row r="24" spans="1:10" x14ac:dyDescent="0.2">
      <c r="A24" s="13"/>
      <c r="B24" s="28">
        <v>5</v>
      </c>
      <c r="C24" s="38"/>
      <c r="D24" s="11" t="s">
        <v>51</v>
      </c>
      <c r="E24" s="12"/>
      <c r="F24" s="12"/>
      <c r="G24" s="225"/>
      <c r="H24" s="226"/>
      <c r="I24" s="227"/>
      <c r="J24" s="13"/>
    </row>
    <row r="25" spans="1:10" x14ac:dyDescent="0.2">
      <c r="A25" s="13"/>
      <c r="B25" s="28">
        <v>6</v>
      </c>
      <c r="C25" s="38"/>
      <c r="D25" s="11" t="s">
        <v>52</v>
      </c>
      <c r="E25" s="12"/>
      <c r="F25" s="12"/>
      <c r="G25" s="35"/>
      <c r="H25" s="36"/>
      <c r="I25" s="37"/>
      <c r="J25" s="13"/>
    </row>
    <row r="26" spans="1:10" x14ac:dyDescent="0.2">
      <c r="A26" s="13"/>
      <c r="B26" s="28">
        <v>7</v>
      </c>
      <c r="C26" s="38"/>
      <c r="D26" s="11" t="s">
        <v>53</v>
      </c>
      <c r="E26" s="12"/>
      <c r="F26" s="12"/>
      <c r="G26" s="35"/>
      <c r="H26" s="36"/>
      <c r="I26" s="37"/>
      <c r="J26" s="13"/>
    </row>
    <row r="27" spans="1:10" x14ac:dyDescent="0.2">
      <c r="A27" s="13"/>
      <c r="B27" s="28">
        <v>8</v>
      </c>
      <c r="C27" s="38"/>
      <c r="D27" s="11" t="s">
        <v>54</v>
      </c>
      <c r="E27" s="76"/>
      <c r="F27" s="76"/>
      <c r="G27" s="73"/>
      <c r="H27" s="36"/>
      <c r="I27" s="37"/>
      <c r="J27" s="13"/>
    </row>
    <row r="28" spans="1:10" x14ac:dyDescent="0.2">
      <c r="A28" s="13"/>
      <c r="B28" s="28">
        <v>9</v>
      </c>
      <c r="C28" s="38"/>
      <c r="D28" s="11" t="s">
        <v>55</v>
      </c>
      <c r="E28" s="76"/>
      <c r="F28" s="76"/>
      <c r="G28" s="29"/>
      <c r="H28" s="36"/>
      <c r="I28" s="37"/>
      <c r="J28" s="13"/>
    </row>
    <row r="29" spans="1:10" x14ac:dyDescent="0.2">
      <c r="A29" s="13"/>
      <c r="B29" s="28">
        <v>10</v>
      </c>
      <c r="C29" s="38"/>
      <c r="D29" s="11" t="s">
        <v>56</v>
      </c>
      <c r="E29" s="76"/>
      <c r="F29" s="76"/>
      <c r="G29" s="29"/>
      <c r="H29" s="29"/>
      <c r="I29" s="30"/>
      <c r="J29" s="13"/>
    </row>
    <row r="30" spans="1:10" ht="13.5" thickBot="1" x14ac:dyDescent="0.25">
      <c r="A30" s="13"/>
      <c r="B30" s="31"/>
      <c r="C30" s="43"/>
      <c r="D30" s="32" t="s">
        <v>57</v>
      </c>
      <c r="E30" s="77"/>
      <c r="F30" s="77"/>
      <c r="G30" s="33"/>
      <c r="H30" s="33"/>
      <c r="I30" s="34"/>
      <c r="J30" s="13"/>
    </row>
    <row r="31" spans="1:10" ht="13.5" customHeight="1" thickTop="1" x14ac:dyDescent="0.2">
      <c r="A31" s="13"/>
      <c r="B31" s="13"/>
      <c r="C31" s="13"/>
      <c r="D31" s="1"/>
      <c r="E31" s="1"/>
      <c r="F31" s="1"/>
      <c r="G31" s="13"/>
      <c r="H31" s="13"/>
      <c r="I31" s="13"/>
      <c r="J31" s="13"/>
    </row>
    <row r="32" spans="1:10" x14ac:dyDescent="0.2">
      <c r="A32" s="13"/>
      <c r="B32" s="13"/>
      <c r="C32" s="13"/>
      <c r="D32" s="1"/>
      <c r="E32" s="1"/>
      <c r="F32" s="1"/>
      <c r="G32" s="13"/>
      <c r="H32" s="13"/>
      <c r="I32" s="13"/>
      <c r="J32" s="13"/>
    </row>
    <row r="33" spans="1:10" x14ac:dyDescent="0.2">
      <c r="A33" s="13"/>
      <c r="B33" s="13"/>
      <c r="C33" s="13"/>
      <c r="D33" s="1"/>
      <c r="E33" s="1"/>
      <c r="F33" s="1"/>
      <c r="G33" s="13"/>
      <c r="H33" s="13"/>
      <c r="I33" s="13"/>
      <c r="J33" s="13"/>
    </row>
    <row r="34" spans="1:10" x14ac:dyDescent="0.2">
      <c r="A34" s="13"/>
      <c r="B34" s="13"/>
      <c r="C34" s="13"/>
      <c r="D34" s="1"/>
      <c r="E34" s="1"/>
      <c r="F34" s="1"/>
      <c r="G34" s="13"/>
      <c r="H34" s="13"/>
      <c r="I34" s="13"/>
      <c r="J34" s="13"/>
    </row>
    <row r="35" spans="1:10" x14ac:dyDescent="0.2">
      <c r="A35" s="13"/>
      <c r="B35" s="13"/>
      <c r="C35" s="13"/>
      <c r="D35" s="1"/>
      <c r="E35" s="1"/>
      <c r="F35" s="1"/>
      <c r="G35" s="13"/>
      <c r="H35" s="13"/>
      <c r="I35" s="13"/>
      <c r="J35" s="13"/>
    </row>
    <row r="36" spans="1:10" x14ac:dyDescent="0.2">
      <c r="A36" s="13"/>
      <c r="B36" s="13"/>
      <c r="C36" s="13"/>
      <c r="D36" s="1"/>
      <c r="E36" s="1"/>
      <c r="F36" s="1"/>
      <c r="G36" s="13"/>
      <c r="H36" s="13"/>
      <c r="I36" s="13"/>
      <c r="J36" s="13"/>
    </row>
    <row r="37" spans="1:10" x14ac:dyDescent="0.2">
      <c r="A37" s="13"/>
      <c r="B37" s="13"/>
      <c r="C37" s="13"/>
      <c r="D37" s="1"/>
      <c r="E37" s="1"/>
      <c r="F37" s="1"/>
      <c r="G37" s="13"/>
      <c r="H37" s="13"/>
      <c r="I37" s="13"/>
      <c r="J37" s="13"/>
    </row>
    <row r="38" spans="1:10" x14ac:dyDescent="0.2">
      <c r="A38" s="13"/>
      <c r="B38" s="13"/>
      <c r="C38" s="13"/>
      <c r="D38" s="1"/>
      <c r="E38" s="1"/>
      <c r="F38" s="1"/>
      <c r="G38" s="13"/>
      <c r="H38" s="13"/>
      <c r="I38" s="13"/>
      <c r="J38" s="13"/>
    </row>
    <row r="39" spans="1:10" x14ac:dyDescent="0.2">
      <c r="A39" s="13"/>
      <c r="B39" s="13"/>
      <c r="C39" s="13"/>
      <c r="D39" s="1"/>
      <c r="E39" s="1"/>
      <c r="F39" s="1"/>
      <c r="G39" s="13"/>
      <c r="H39" s="13"/>
      <c r="I39" s="13"/>
      <c r="J39" s="13"/>
    </row>
    <row r="40" spans="1:10" x14ac:dyDescent="0.2">
      <c r="A40" s="13"/>
      <c r="B40" s="13"/>
      <c r="C40" s="13"/>
      <c r="D40" s="1"/>
      <c r="E40" s="1"/>
      <c r="F40" s="1"/>
      <c r="G40" s="13"/>
      <c r="H40" s="13"/>
      <c r="I40" s="13"/>
      <c r="J40" s="13"/>
    </row>
    <row r="41" spans="1:10" x14ac:dyDescent="0.2">
      <c r="A41" s="13"/>
      <c r="B41" s="13"/>
      <c r="C41" s="13"/>
      <c r="D41" s="1"/>
      <c r="E41" s="1"/>
      <c r="F41" s="1"/>
      <c r="G41" s="13"/>
      <c r="H41" s="13"/>
      <c r="I41" s="13"/>
      <c r="J41" s="13"/>
    </row>
    <row r="43" spans="1:10" s="1" customFormat="1" x14ac:dyDescent="0.2">
      <c r="A43" s="218" t="s">
        <v>63</v>
      </c>
      <c r="B43" s="218"/>
      <c r="C43" s="72"/>
      <c r="D43" s="75" t="s">
        <v>34</v>
      </c>
      <c r="E43" s="74"/>
      <c r="G43" s="72"/>
      <c r="H43" s="72"/>
      <c r="I43" s="75" t="s">
        <v>75</v>
      </c>
      <c r="J43" s="72"/>
    </row>
  </sheetData>
  <mergeCells count="11">
    <mergeCell ref="I8:J8"/>
    <mergeCell ref="A3:J3"/>
    <mergeCell ref="A4:J4"/>
    <mergeCell ref="A5:J5"/>
    <mergeCell ref="A43:B43"/>
    <mergeCell ref="G19:I19"/>
    <mergeCell ref="G20:I20"/>
    <mergeCell ref="G21:I21"/>
    <mergeCell ref="G22:I22"/>
    <mergeCell ref="G23:I23"/>
    <mergeCell ref="G24:I24"/>
  </mergeCells>
  <phoneticPr fontId="16" type="noConversion"/>
  <pageMargins left="0.49" right="0.27" top="0.34" bottom="0.24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PKL.</vt:lpstr>
      <vt:lpstr>sum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User</cp:lastModifiedBy>
  <cp:lastPrinted>2026-05-22T06:58:54Z</cp:lastPrinted>
  <dcterms:created xsi:type="dcterms:W3CDTF">2014-04-22T09:32:45Z</dcterms:created>
  <dcterms:modified xsi:type="dcterms:W3CDTF">2026-09-26T10:02:23Z</dcterms:modified>
</cp:coreProperties>
</file>