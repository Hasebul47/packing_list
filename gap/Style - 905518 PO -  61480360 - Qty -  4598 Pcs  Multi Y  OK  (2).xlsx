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GAP\Packing List\2026\905518\"/>
    </mc:Choice>
  </mc:AlternateContent>
  <xr:revisionPtr revIDLastSave="0" documentId="13_ncr:1_{591CF32F-DE15-497D-8F5D-E8F1936686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KL." sheetId="3" r:id="rId1"/>
    <sheet name="sum" sheetId="2" r:id="rId2"/>
  </sheets>
  <definedNames>
    <definedName name="_xlnm.Print_Area" localSheetId="0">PKL.!$A$1:$T$176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9" i="3" l="1"/>
  <c r="S149" i="3" s="1"/>
  <c r="S154" i="3"/>
  <c r="S153" i="3"/>
  <c r="S152" i="3"/>
  <c r="S151" i="3"/>
  <c r="S150" i="3"/>
  <c r="S148" i="3"/>
  <c r="S147" i="3"/>
  <c r="S146" i="3"/>
  <c r="S145" i="3"/>
  <c r="S144" i="3"/>
  <c r="S143" i="3"/>
  <c r="S142" i="3"/>
  <c r="Q122" i="3"/>
  <c r="S124" i="3" l="1"/>
  <c r="S123" i="3"/>
  <c r="S122" i="3"/>
  <c r="S119" i="3"/>
  <c r="S113" i="3"/>
  <c r="S92" i="3"/>
  <c r="S91" i="3"/>
  <c r="S90" i="3"/>
  <c r="S89" i="3"/>
  <c r="S88" i="3"/>
  <c r="S87" i="3"/>
  <c r="S86" i="3"/>
  <c r="S69" i="3"/>
  <c r="S68" i="3"/>
  <c r="S67" i="3"/>
  <c r="S64" i="3"/>
  <c r="S42" i="3"/>
  <c r="S24" i="3"/>
  <c r="A144" i="3" l="1"/>
  <c r="B144" i="3"/>
  <c r="A145" i="3" s="1"/>
  <c r="B145" i="3"/>
  <c r="A146" i="3" s="1"/>
  <c r="A111" i="3"/>
  <c r="B111" i="3"/>
  <c r="A112" i="3" s="1"/>
  <c r="B112" i="3"/>
  <c r="A113" i="3" s="1"/>
  <c r="T122" i="3"/>
  <c r="Q113" i="3"/>
  <c r="T113" i="3" s="1"/>
  <c r="Q111" i="3"/>
  <c r="Q61" i="3"/>
  <c r="Q119" i="3"/>
  <c r="T119" i="3" s="1"/>
  <c r="T149" i="3"/>
  <c r="Q144" i="3"/>
  <c r="T144" i="3" s="1"/>
  <c r="Q89" i="3"/>
  <c r="R89" i="3" s="1"/>
  <c r="B146" i="3" l="1"/>
  <c r="B113" i="3"/>
  <c r="R122" i="3"/>
  <c r="L125" i="3" s="1"/>
  <c r="R113" i="3"/>
  <c r="R111" i="3"/>
  <c r="R61" i="3"/>
  <c r="R149" i="3"/>
  <c r="R144" i="3"/>
  <c r="T89" i="3"/>
  <c r="R119" i="3"/>
  <c r="Q64" i="3"/>
  <c r="T64" i="3" s="1"/>
  <c r="H173" i="3"/>
  <c r="I173" i="3"/>
  <c r="J173" i="3"/>
  <c r="K173" i="3"/>
  <c r="L173" i="3"/>
  <c r="M173" i="3"/>
  <c r="G173" i="3"/>
  <c r="H141" i="3"/>
  <c r="I141" i="3"/>
  <c r="J141" i="3"/>
  <c r="K141" i="3"/>
  <c r="L141" i="3"/>
  <c r="M141" i="3"/>
  <c r="G141" i="3"/>
  <c r="D155" i="3"/>
  <c r="D135" i="3" s="1"/>
  <c r="Q154" i="3"/>
  <c r="T154" i="3" s="1"/>
  <c r="Q153" i="3"/>
  <c r="T153" i="3" s="1"/>
  <c r="Q152" i="3"/>
  <c r="T152" i="3" s="1"/>
  <c r="Q151" i="3"/>
  <c r="T151" i="3" s="1"/>
  <c r="Q150" i="3"/>
  <c r="T150" i="3" s="1"/>
  <c r="Q148" i="3"/>
  <c r="T148" i="3" s="1"/>
  <c r="Q147" i="3"/>
  <c r="T147" i="3" s="1"/>
  <c r="Q146" i="3"/>
  <c r="T146" i="3" s="1"/>
  <c r="Q145" i="3"/>
  <c r="T145" i="3" s="1"/>
  <c r="Q143" i="3"/>
  <c r="T143" i="3" s="1"/>
  <c r="Q142" i="3"/>
  <c r="T142" i="3" s="1"/>
  <c r="E86" i="3"/>
  <c r="E157" i="3" s="1"/>
  <c r="H165" i="3"/>
  <c r="I165" i="3"/>
  <c r="J165" i="3"/>
  <c r="K165" i="3"/>
  <c r="L165" i="3"/>
  <c r="M165" i="3"/>
  <c r="G165" i="3"/>
  <c r="H172" i="3"/>
  <c r="I172" i="3"/>
  <c r="J172" i="3"/>
  <c r="K172" i="3"/>
  <c r="L172" i="3"/>
  <c r="M172" i="3"/>
  <c r="G172" i="3"/>
  <c r="R166" i="3"/>
  <c r="H85" i="3"/>
  <c r="I85" i="3"/>
  <c r="J85" i="3"/>
  <c r="K85" i="3"/>
  <c r="L85" i="3"/>
  <c r="M85" i="3"/>
  <c r="G85" i="3"/>
  <c r="D93" i="3"/>
  <c r="D79" i="3" s="1"/>
  <c r="Q92" i="3"/>
  <c r="R92" i="3" s="1"/>
  <c r="Q91" i="3"/>
  <c r="T91" i="3" s="1"/>
  <c r="Q90" i="3"/>
  <c r="T90" i="3" s="1"/>
  <c r="Q88" i="3"/>
  <c r="T88" i="3" s="1"/>
  <c r="Q87" i="3"/>
  <c r="T87" i="3" s="1"/>
  <c r="Q86" i="3"/>
  <c r="T86" i="3" s="1"/>
  <c r="D74" i="3"/>
  <c r="R77" i="3" s="1"/>
  <c r="D73" i="3"/>
  <c r="H41" i="3"/>
  <c r="I41" i="3"/>
  <c r="J41" i="3"/>
  <c r="K41" i="3"/>
  <c r="L41" i="3"/>
  <c r="M41" i="3"/>
  <c r="G41" i="3"/>
  <c r="D28" i="3"/>
  <c r="D30" i="3"/>
  <c r="R31" i="3" s="1"/>
  <c r="D43" i="3"/>
  <c r="D34" i="3" s="1"/>
  <c r="N42" i="3"/>
  <c r="Q42" i="3" s="1"/>
  <c r="R42" i="3" s="1"/>
  <c r="R43" i="3" s="1"/>
  <c r="D32" i="3" s="1"/>
  <c r="D33" i="3" s="1"/>
  <c r="R32" i="3"/>
  <c r="Q114" i="3"/>
  <c r="R114" i="3" s="1"/>
  <c r="D125" i="3"/>
  <c r="Q121" i="3"/>
  <c r="R121" i="3" s="1"/>
  <c r="Q120" i="3"/>
  <c r="R120" i="3" s="1"/>
  <c r="Q123" i="3"/>
  <c r="R123" i="3" s="1"/>
  <c r="Q116" i="3"/>
  <c r="R116" i="3" s="1"/>
  <c r="Q115" i="3"/>
  <c r="R115" i="3" s="1"/>
  <c r="Q112" i="3"/>
  <c r="R112" i="3" s="1"/>
  <c r="H125" i="3" s="1"/>
  <c r="Q118" i="3"/>
  <c r="R118" i="3" s="1"/>
  <c r="Q117" i="3"/>
  <c r="R117" i="3" s="1"/>
  <c r="Q110" i="3"/>
  <c r="R110" i="3" s="1"/>
  <c r="Q124" i="3"/>
  <c r="R124" i="3" s="1"/>
  <c r="M125" i="3" s="1"/>
  <c r="Q63" i="3"/>
  <c r="D70" i="3"/>
  <c r="Q69" i="3"/>
  <c r="Q68" i="3"/>
  <c r="R68" i="3" s="1"/>
  <c r="B147" i="3" l="1"/>
  <c r="A147" i="3"/>
  <c r="A114" i="3"/>
  <c r="B114" i="3"/>
  <c r="H160" i="3"/>
  <c r="I125" i="3"/>
  <c r="I160" i="3" s="1"/>
  <c r="L160" i="3"/>
  <c r="J125" i="3"/>
  <c r="J160" i="3" s="1"/>
  <c r="K125" i="3"/>
  <c r="K160" i="3" s="1"/>
  <c r="R64" i="3"/>
  <c r="R142" i="3"/>
  <c r="E109" i="3"/>
  <c r="R173" i="3"/>
  <c r="R145" i="3"/>
  <c r="H155" i="3" s="1"/>
  <c r="R146" i="3"/>
  <c r="R148" i="3"/>
  <c r="J155" i="3" s="1"/>
  <c r="R150" i="3"/>
  <c r="R152" i="3"/>
  <c r="R154" i="3"/>
  <c r="M155" i="3" s="1"/>
  <c r="R143" i="3"/>
  <c r="R147" i="3"/>
  <c r="R151" i="3"/>
  <c r="R153" i="3"/>
  <c r="T92" i="3"/>
  <c r="R86" i="3"/>
  <c r="R87" i="3"/>
  <c r="R88" i="3"/>
  <c r="R90" i="3"/>
  <c r="R91" i="3"/>
  <c r="S114" i="3"/>
  <c r="T114" i="3" s="1"/>
  <c r="T123" i="3"/>
  <c r="S118" i="3"/>
  <c r="T118" i="3" s="1"/>
  <c r="T124" i="3"/>
  <c r="S117" i="3"/>
  <c r="T117" i="3" s="1"/>
  <c r="T68" i="3"/>
  <c r="S110" i="3"/>
  <c r="T110" i="3" s="1"/>
  <c r="S115" i="3"/>
  <c r="T115" i="3" s="1"/>
  <c r="S120" i="3"/>
  <c r="T120" i="3" s="1"/>
  <c r="S112" i="3"/>
  <c r="T112" i="3" s="1"/>
  <c r="S116" i="3"/>
  <c r="T116" i="3" s="1"/>
  <c r="S121" i="3"/>
  <c r="T121" i="3" s="1"/>
  <c r="T69" i="3"/>
  <c r="M160" i="3"/>
  <c r="R69" i="3"/>
  <c r="A148" i="3" l="1"/>
  <c r="B148" i="3"/>
  <c r="A115" i="3"/>
  <c r="B115" i="3"/>
  <c r="I155" i="3"/>
  <c r="I167" i="3" s="1"/>
  <c r="L155" i="3"/>
  <c r="L167" i="3" s="1"/>
  <c r="H167" i="3"/>
  <c r="K155" i="3"/>
  <c r="K167" i="3" s="1"/>
  <c r="J167" i="3"/>
  <c r="G155" i="3"/>
  <c r="G167" i="3" s="1"/>
  <c r="R155" i="3"/>
  <c r="D133" i="3" s="1"/>
  <c r="D134" i="3" s="1"/>
  <c r="M167" i="3"/>
  <c r="R93" i="3"/>
  <c r="D77" i="3" s="1"/>
  <c r="D78" i="3" s="1"/>
  <c r="N24" i="3"/>
  <c r="I158" i="3"/>
  <c r="I161" i="3"/>
  <c r="I162" i="3" s="1"/>
  <c r="I108" i="3"/>
  <c r="I58" i="3"/>
  <c r="I23" i="3"/>
  <c r="I6" i="3"/>
  <c r="H158" i="3"/>
  <c r="H161" i="3"/>
  <c r="H162" i="3" s="1"/>
  <c r="H108" i="3"/>
  <c r="H58" i="3"/>
  <c r="H23" i="3"/>
  <c r="H6" i="3"/>
  <c r="S111" i="3" s="1"/>
  <c r="T111" i="3" s="1"/>
  <c r="F13" i="2"/>
  <c r="G13" i="2"/>
  <c r="E13" i="2"/>
  <c r="J13" i="2"/>
  <c r="B149" i="3" l="1"/>
  <c r="A149" i="3"/>
  <c r="A116" i="3"/>
  <c r="B116" i="3"/>
  <c r="M174" i="3"/>
  <c r="M175" i="3" s="1"/>
  <c r="M176" i="3" s="1"/>
  <c r="L174" i="3"/>
  <c r="L175" i="3" s="1"/>
  <c r="L176" i="3" s="1"/>
  <c r="K174" i="3"/>
  <c r="K175" i="3" s="1"/>
  <c r="K176" i="3" s="1"/>
  <c r="J174" i="3"/>
  <c r="J175" i="3" s="1"/>
  <c r="J176" i="3" s="1"/>
  <c r="I174" i="3"/>
  <c r="I175" i="3" s="1"/>
  <c r="I176" i="3" s="1"/>
  <c r="H174" i="3"/>
  <c r="H175" i="3" s="1"/>
  <c r="H176" i="3" s="1"/>
  <c r="H168" i="3"/>
  <c r="H169" i="3" s="1"/>
  <c r="I168" i="3"/>
  <c r="I169" i="3" s="1"/>
  <c r="G12" i="2"/>
  <c r="I12" i="2" s="1"/>
  <c r="Q66" i="3"/>
  <c r="S66" i="3" s="1"/>
  <c r="Q65" i="3"/>
  <c r="S65" i="3" s="1"/>
  <c r="A150" i="3" l="1"/>
  <c r="B150" i="3"/>
  <c r="A117" i="3"/>
  <c r="B117" i="3"/>
  <c r="Q109" i="3"/>
  <c r="R66" i="3"/>
  <c r="T65" i="3"/>
  <c r="Q67" i="3"/>
  <c r="Q62" i="3"/>
  <c r="D25" i="3"/>
  <c r="B151" i="3" l="1"/>
  <c r="A151" i="3"/>
  <c r="B118" i="3"/>
  <c r="A118" i="3"/>
  <c r="R109" i="3"/>
  <c r="G125" i="3" s="1"/>
  <c r="S109" i="3"/>
  <c r="R62" i="3"/>
  <c r="S62" i="3"/>
  <c r="T62" i="3" s="1"/>
  <c r="S63" i="3"/>
  <c r="T63" i="3" s="1"/>
  <c r="T67" i="3"/>
  <c r="R63" i="3"/>
  <c r="T66" i="3"/>
  <c r="R65" i="3"/>
  <c r="R67" i="3"/>
  <c r="J6" i="3"/>
  <c r="K6" i="3"/>
  <c r="S61" i="3" s="1"/>
  <c r="T61" i="3" s="1"/>
  <c r="L6" i="3"/>
  <c r="M6" i="3"/>
  <c r="A152" i="3" l="1"/>
  <c r="B152" i="3"/>
  <c r="A119" i="3"/>
  <c r="B119" i="3"/>
  <c r="G160" i="3"/>
  <c r="R125" i="3"/>
  <c r="Q59" i="3"/>
  <c r="S59" i="3" s="1"/>
  <c r="D102" i="3"/>
  <c r="J108" i="3"/>
  <c r="K108" i="3"/>
  <c r="L108" i="3"/>
  <c r="M108" i="3"/>
  <c r="G108" i="3"/>
  <c r="B153" i="3" l="1"/>
  <c r="A153" i="3"/>
  <c r="B120" i="3"/>
  <c r="A120" i="3"/>
  <c r="G174" i="3"/>
  <c r="R174" i="3" s="1"/>
  <c r="T109" i="3"/>
  <c r="A154" i="3" l="1"/>
  <c r="B154" i="3"/>
  <c r="A121" i="3"/>
  <c r="B121" i="3"/>
  <c r="G175" i="3"/>
  <c r="R175" i="3" s="1"/>
  <c r="R176" i="3" s="1"/>
  <c r="D100" i="3"/>
  <c r="D101" i="3" s="1"/>
  <c r="A122" i="3" l="1"/>
  <c r="B122" i="3"/>
  <c r="G176" i="3"/>
  <c r="Q60" i="3"/>
  <c r="S60" i="3" s="1"/>
  <c r="A123" i="3" l="1"/>
  <c r="B123" i="3"/>
  <c r="R59" i="3"/>
  <c r="B124" i="3" l="1"/>
  <c r="A124" i="3"/>
  <c r="T60" i="3"/>
  <c r="R60" i="3" l="1"/>
  <c r="R70" i="3" s="1"/>
  <c r="B7" i="2"/>
  <c r="H13" i="2" l="1"/>
  <c r="J23" i="3" l="1"/>
  <c r="K23" i="3"/>
  <c r="L23" i="3"/>
  <c r="M23" i="3"/>
  <c r="G23" i="3"/>
  <c r="E59" i="3"/>
  <c r="E142" i="3" s="1"/>
  <c r="E164" i="3" s="1"/>
  <c r="T42" i="3" l="1"/>
  <c r="T24" i="3" l="1"/>
  <c r="J58" i="3" l="1"/>
  <c r="K58" i="3"/>
  <c r="L58" i="3"/>
  <c r="M58" i="3"/>
  <c r="G58" i="3"/>
  <c r="R14" i="3"/>
  <c r="J158" i="3" l="1"/>
  <c r="K158" i="3"/>
  <c r="L158" i="3"/>
  <c r="M158" i="3"/>
  <c r="G158" i="3"/>
  <c r="Q24" i="3" l="1"/>
  <c r="R24" i="3" s="1"/>
  <c r="R25" i="3" s="1"/>
  <c r="D14" i="3" s="1"/>
  <c r="M161" i="3" l="1"/>
  <c r="M162" i="3" s="1"/>
  <c r="M168" i="3" s="1"/>
  <c r="M169" i="3" s="1"/>
  <c r="J161" i="3" l="1"/>
  <c r="J162" i="3" s="1"/>
  <c r="J168" i="3" s="1"/>
  <c r="J169" i="3" s="1"/>
  <c r="L161" i="3" l="1"/>
  <c r="L162" i="3" s="1"/>
  <c r="L168" i="3" s="1"/>
  <c r="L169" i="3" s="1"/>
  <c r="K161" i="3"/>
  <c r="K162" i="3" s="1"/>
  <c r="K168" i="3" s="1"/>
  <c r="K169" i="3" s="1"/>
  <c r="D47" i="3" l="1"/>
  <c r="R50" i="3" l="1"/>
  <c r="D97" i="3"/>
  <c r="D130" i="3" s="1"/>
  <c r="R133" i="3" s="1"/>
  <c r="D48" i="3"/>
  <c r="D98" i="3" l="1"/>
  <c r="D131" i="3" s="1"/>
  <c r="R132" i="3" s="1"/>
  <c r="D75" i="3"/>
  <c r="R76" i="3" s="1"/>
  <c r="G6" i="3"/>
  <c r="D46" i="3" l="1"/>
  <c r="D96" i="3" s="1"/>
  <c r="D129" i="3" s="1"/>
  <c r="T59" i="3" l="1"/>
  <c r="B24" i="3" l="1"/>
  <c r="R13" i="3"/>
  <c r="B42" i="3" l="1"/>
  <c r="A42" i="3"/>
  <c r="D52" i="3"/>
  <c r="D16" i="3"/>
  <c r="A59" i="3" l="1"/>
  <c r="B59" i="3"/>
  <c r="B60" i="3" s="1"/>
  <c r="R160" i="3"/>
  <c r="R49" i="3"/>
  <c r="A60" i="3" l="1"/>
  <c r="A61" i="3"/>
  <c r="B61" i="3"/>
  <c r="D15" i="3"/>
  <c r="D50" i="3"/>
  <c r="R100" i="3" s="1"/>
  <c r="A62" i="3" l="1"/>
  <c r="B62" i="3"/>
  <c r="D51" i="3"/>
  <c r="R99" i="3" s="1"/>
  <c r="G161" i="3"/>
  <c r="G162" i="3" s="1"/>
  <c r="R159" i="3"/>
  <c r="I13" i="2" s="1"/>
  <c r="A63" i="3" l="1"/>
  <c r="B63" i="3"/>
  <c r="R167" i="3"/>
  <c r="G168" i="3"/>
  <c r="R161" i="3"/>
  <c r="A64" i="3" l="1"/>
  <c r="B64" i="3"/>
  <c r="R168" i="3"/>
  <c r="R169" i="3" s="1"/>
  <c r="G169" i="3"/>
  <c r="G11" i="2"/>
  <c r="R162" i="3"/>
  <c r="A65" i="3" l="1"/>
  <c r="B65" i="3"/>
  <c r="I11" i="2"/>
  <c r="B66" i="3" l="1"/>
  <c r="A66" i="3"/>
  <c r="A67" i="3" l="1"/>
  <c r="B67" i="3"/>
  <c r="A68" i="3" l="1"/>
  <c r="B68" i="3"/>
  <c r="B69" i="3" l="1"/>
  <c r="A69" i="3"/>
  <c r="B86" i="3" l="1"/>
  <c r="A86" i="3"/>
  <c r="B87" i="3" l="1"/>
  <c r="A87" i="3"/>
  <c r="A88" i="3" l="1"/>
  <c r="B88" i="3"/>
  <c r="A89" i="3" l="1"/>
  <c r="B89" i="3"/>
  <c r="A90" i="3" l="1"/>
  <c r="B90" i="3"/>
  <c r="A91" i="3" l="1"/>
  <c r="B91" i="3"/>
  <c r="B92" i="3" l="1"/>
  <c r="A92" i="3"/>
  <c r="A109" i="3" l="1"/>
  <c r="B109" i="3"/>
  <c r="B110" i="3" l="1"/>
  <c r="A110" i="3"/>
  <c r="B142" i="3" l="1"/>
  <c r="A142" i="3"/>
  <c r="A143" i="3" l="1"/>
  <c r="B143" i="3"/>
</calcChain>
</file>

<file path=xl/sharedStrings.xml><?xml version="1.0" encoding="utf-8"?>
<sst xmlns="http://schemas.openxmlformats.org/spreadsheetml/2006/main" count="389" uniqueCount="113">
  <si>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</si>
  <si>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</si>
  <si>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</si>
  <si>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</si>
  <si>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</si>
  <si>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</si>
  <si>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</si>
  <si>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</si>
  <si>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</si>
  <si>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</si>
  <si>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</si>
  <si>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</si>
  <si>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</si>
  <si>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</si>
  <si>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</si>
  <si>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</si>
  <si>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</si>
  <si>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</si>
  <si>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</si>
  <si>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</si>
  <si>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</si>
  <si>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</si>
  <si>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</si>
  <si>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</si>
  <si>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</si>
  <si>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</si>
  <si>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</si>
  <si>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</si>
  <si>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</si>
  <si>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</si>
  <si>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</si>
  <si>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</si>
  <si>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</si>
  <si>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</si>
  <si>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</si>
  <si>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</si>
  <si>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</si>
  <si>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</si>
  <si>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</si>
  <si>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</si>
  <si>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</si>
  <si>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</si>
  <si>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</si>
  <si>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</si>
  <si>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</si>
  <si>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</si>
  <si>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</si>
  <si>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</si>
  <si>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</si>
  <si>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</si>
  <si>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</si>
  <si>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</si>
  <si>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</si>
  <si>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</si>
  <si>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</si>
  <si>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</si>
  <si>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</si>
  <si>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</si>
  <si>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</si>
  <si>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</si>
  <si>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 xml:space="preserve">Unit / Prepack      </t>
  </si>
  <si>
    <t xml:space="preserve"> PER BLST</t>
  </si>
  <si>
    <t>X</t>
  </si>
  <si>
    <t xml:space="preserve"> </t>
  </si>
  <si>
    <t>FA AUDITOR</t>
  </si>
  <si>
    <t>58.67 X 38.48 X 29.71 CM.G8_SL</t>
  </si>
  <si>
    <t>58.67 X 38.48 X 14.86 CM.G8S_SL</t>
  </si>
  <si>
    <t>38.48 X 29.33 X 14.86 CM.G-8M</t>
  </si>
  <si>
    <t>N.W</t>
  </si>
  <si>
    <t>N.N.W</t>
  </si>
  <si>
    <t>EMPTY CTN WET</t>
  </si>
  <si>
    <t>184/23</t>
  </si>
  <si>
    <t xml:space="preserve">    CREATIVE COLLECTIONS LTD-1A.</t>
  </si>
  <si>
    <t>CREATIVE COLLECTIONS LIMITED (UNIT-1A)</t>
  </si>
  <si>
    <t>N.WT</t>
  </si>
  <si>
    <t>N.N. WT</t>
  </si>
  <si>
    <t>FM</t>
  </si>
  <si>
    <t>29.33 X 19.25 X 14.86 CM.G-8XS</t>
  </si>
  <si>
    <t>55.88 X 38.1 X 15.24 CM G13</t>
  </si>
  <si>
    <r>
      <t xml:space="preserve">PO </t>
    </r>
    <r>
      <rPr>
        <b/>
        <i/>
        <sz val="12"/>
        <rFont val="Arial"/>
        <family val="2"/>
      </rPr>
      <t xml:space="preserve"># </t>
    </r>
  </si>
  <si>
    <t>OLD NAVY</t>
  </si>
  <si>
    <t xml:space="preserve">SINGLE  PACK </t>
  </si>
  <si>
    <t xml:space="preserve">BULK PACK </t>
  </si>
  <si>
    <t>G84</t>
  </si>
  <si>
    <t>G81</t>
  </si>
  <si>
    <t>G82</t>
  </si>
  <si>
    <t>HANNAH</t>
  </si>
  <si>
    <t>61194786</t>
  </si>
  <si>
    <t>''</t>
  </si>
  <si>
    <t>Sum'26</t>
  </si>
  <si>
    <t>BDC</t>
  </si>
  <si>
    <t>CANADA</t>
  </si>
  <si>
    <t>01/02/2026</t>
  </si>
  <si>
    <t>MULTY PACK ( Y )</t>
  </si>
  <si>
    <t>G85</t>
  </si>
  <si>
    <t>905518-00-1</t>
  </si>
  <si>
    <t>TEAKWOOD</t>
  </si>
  <si>
    <t>NAVY CAPTAIN</t>
  </si>
  <si>
    <t>905518-02-1</t>
  </si>
  <si>
    <t>XS</t>
  </si>
  <si>
    <t>S</t>
  </si>
  <si>
    <t>M</t>
  </si>
  <si>
    <t>L</t>
  </si>
  <si>
    <t>XL</t>
  </si>
  <si>
    <t>XXL</t>
  </si>
  <si>
    <t>XXL+</t>
  </si>
  <si>
    <t>G. Total Summery</t>
  </si>
  <si>
    <t>289 of 368</t>
  </si>
  <si>
    <t>236 of 368</t>
  </si>
  <si>
    <t>209 of 368</t>
  </si>
  <si>
    <t>179 of 368</t>
  </si>
  <si>
    <t>90 of 368</t>
  </si>
  <si>
    <t>01 of 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</si>
</sst>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Vrinda"/>
      <family val="1"/>
      <scheme val="major"/>
    </font>
    <font>
      <b/>
      <sz val="12"/>
      <name val="Vrinda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i/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Helvetica"/>
    </font>
    <font>
      <b/>
      <sz val="6"/>
      <color rgb="FF000000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3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10" fontId="13" fillId="0" borderId="36" xfId="0" applyNumberFormat="1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/>
    </xf>
    <xf numFmtId="0" fontId="8" fillId="3" borderId="42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vertical="center"/>
    </xf>
    <xf numFmtId="0" fontId="8" fillId="3" borderId="45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vertical="center"/>
    </xf>
    <xf numFmtId="0" fontId="1" fillId="4" borderId="65" xfId="0" applyFont="1" applyFill="1" applyBorder="1" applyAlignment="1">
      <alignment vertical="center"/>
    </xf>
    <xf numFmtId="0" fontId="8" fillId="4" borderId="6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0" fontId="8" fillId="4" borderId="66" xfId="1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vertical="center"/>
    </xf>
    <xf numFmtId="0" fontId="6" fillId="2" borderId="37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1" fillId="2" borderId="3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9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2" fontId="6" fillId="2" borderId="30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left"/>
    </xf>
    <xf numFmtId="0" fontId="1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2" fontId="1" fillId="2" borderId="1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right"/>
    </xf>
    <xf numFmtId="0" fontId="1" fillId="2" borderId="38" xfId="0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2" fontId="1" fillId="2" borderId="26" xfId="0" applyNumberFormat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8" fillId="2" borderId="6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2" fontId="8" fillId="2" borderId="18" xfId="0" applyNumberFormat="1" applyFont="1" applyFill="1" applyBorder="1" applyAlignment="1">
      <alignment horizontal="center" vertical="center" wrapText="1"/>
    </xf>
    <xf numFmtId="2" fontId="8" fillId="2" borderId="26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/>
    <xf numFmtId="0" fontId="1" fillId="2" borderId="0" xfId="0" applyFont="1" applyFill="1" applyBorder="1"/>
    <xf numFmtId="0" fontId="21" fillId="2" borderId="0" xfId="0" applyFont="1" applyFill="1"/>
    <xf numFmtId="0" fontId="22" fillId="2" borderId="0" xfId="0" applyFont="1" applyFill="1"/>
    <xf numFmtId="2" fontId="6" fillId="2" borderId="1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6" fillId="2" borderId="0" xfId="0" applyNumberFormat="1" applyFont="1" applyFill="1" applyAlignment="1">
      <alignment horizontal="left"/>
    </xf>
    <xf numFmtId="0" fontId="13" fillId="0" borderId="18" xfId="0" quotePrefix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/>
    </xf>
    <xf numFmtId="0" fontId="12" fillId="2" borderId="24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164" fontId="11" fillId="2" borderId="18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left"/>
    </xf>
    <xf numFmtId="0" fontId="6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14" fillId="2" borderId="1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" fontId="6" fillId="2" borderId="0" xfId="0" applyNumberFormat="1" applyFont="1" applyFill="1" applyAlignment="1">
      <alignment horizontal="left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49" fontId="6" fillId="5" borderId="19" xfId="0" applyNumberFormat="1" applyFont="1" applyFill="1" applyBorder="1" applyAlignment="1">
      <alignment horizontal="center" vertical="center"/>
    </xf>
    <xf numFmtId="49" fontId="6" fillId="5" borderId="2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560295</xdr:colOff>
      <xdr:row>83</xdr:row>
      <xdr:rowOff>33619</xdr:rowOff>
    </xdr:from>
    <xdr:to>
      <xdr:col>25</xdr:col>
      <xdr:colOff>383080</xdr:colOff>
      <xdr:row>91</xdr:row>
      <xdr:rowOff>199298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F50B02-C514-4074-BF90-4BB5418ED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8648" y="19296531"/>
          <a:ext cx="2848373" cy="2810267"/>
        </a:xfrm>
        <a:prstGeom prst="rect">
          <a:avLst/>
        </a:prstGeom>
      </xdr:spPr>
    </xdr:pic>
    <xdr:clientData/>
  </xdr:twoCellAnchor>
  <xdr:twoCellAnchor editAs="oneCell">
    <xdr:from>
      <xdr:col>20</xdr:col>
      <xdr:colOff>470647</xdr:colOff>
      <xdr:row>138</xdr:row>
      <xdr:rowOff>145677</xdr:rowOff>
    </xdr:from>
    <xdr:to>
      <xdr:col>25</xdr:col>
      <xdr:colOff>302958</xdr:colOff>
      <xdr:row>151</xdr:row>
      <xdr:rowOff>305979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029C22-DDDC-4D41-8ECE-9C620A62C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0" y="33371118"/>
          <a:ext cx="2857899" cy="4429743"/>
        </a:xfrm>
        <a:prstGeom prst="rect">
          <a:avLst/>
        </a:prstGeom>
      </xdr:spPr>
    </xdr:pic>
    <xdr:clientData/>
  </xdr:twoCellAnchor>
  <xdr:twoCellAnchor editAs="oneCell">
    <xdr:from>
      <xdr:col>20</xdr:col>
      <xdr:colOff>481854</xdr:colOff>
      <xdr:row>118</xdr:row>
      <xdr:rowOff>89647</xdr:rowOff>
    </xdr:from>
    <xdr:to>
      <xdr:col>26</xdr:col>
      <xdr:colOff>175837</xdr:colOff>
      <xdr:row>122</xdr:row>
      <xdr:rowOff>246191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941A89-5E36-4978-A29C-487DEDFC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60207" y="28608618"/>
          <a:ext cx="3324689" cy="1590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"/>
  <sheetViews>
    <sheetView tabSelected="1" view="pageBreakPreview" zoomScale="85" zoomScaleSheetLayoutView="85" workbookViewId="0">
      <pane ySplit="5" topLeftCell="A159" activePane="bottomLeft" state="frozen"/>
      <selection pane="bottomLeft" activeCell="L151" sqref="L151"/>
    </sheetView>
  </sheetViews>
  <sheetFormatPr defaultRowHeight="12.75" x14ac:dyDescent="0.2"/>
  <cols>
    <col min="1" max="1" width="6.28515625" style="110" customWidth="1"/>
    <col min="2" max="2" width="7.5703125" style="110" customWidth="1"/>
    <col min="3" max="3" width="7.85546875" style="110" customWidth="1"/>
    <col min="4" max="4" width="7.5703125" style="110" customWidth="1"/>
    <col min="5" max="5" width="12.5703125" style="110" customWidth="1"/>
    <col min="6" max="6" width="17" style="110" customWidth="1"/>
    <col min="7" max="7" width="8.140625" style="110" customWidth="1"/>
    <col min="8" max="10" width="8.42578125" style="110" customWidth="1"/>
    <col min="11" max="11" width="7.7109375" style="110" customWidth="1"/>
    <col min="12" max="12" width="7" style="110" customWidth="1"/>
    <col min="13" max="13" width="8.140625" style="110" customWidth="1"/>
    <col min="14" max="14" width="7" style="110" bestFit="1" customWidth="1"/>
    <col min="15" max="15" width="2.85546875" style="110" customWidth="1"/>
    <col min="16" max="16" width="4.85546875" style="110" customWidth="1"/>
    <col min="17" max="17" width="5.5703125" style="110" customWidth="1"/>
    <col min="18" max="18" width="9.42578125" style="110" customWidth="1"/>
    <col min="19" max="19" width="6.7109375" style="110" customWidth="1"/>
    <col min="20" max="20" width="7.140625" style="110" customWidth="1"/>
    <col min="21" max="16384" width="9.140625" style="110"/>
  </cols>
  <sheetData>
    <row r="1" spans="1:20" ht="23.25" x14ac:dyDescent="0.35">
      <c r="A1" s="161" t="s">
        <v>72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0" ht="16.7" customHeight="1" x14ac:dyDescent="0.25">
      <c r="A2" s="162" t="s">
        <v>28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1:20" ht="16.7" customHeight="1" x14ac:dyDescent="0.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spans="1:20" ht="16.7" customHeight="1" x14ac:dyDescent="0.2">
      <c r="A4" s="90"/>
      <c r="B4" s="90"/>
      <c r="C4" s="90"/>
      <c r="D4" s="104" t="s">
        <v>17</v>
      </c>
      <c r="E4" s="104"/>
      <c r="F4" s="78" t="s">
        <v>17</v>
      </c>
      <c r="G4" s="97" t="s">
        <v>99</v>
      </c>
      <c r="H4" s="97" t="s">
        <v>100</v>
      </c>
      <c r="I4" s="97" t="s">
        <v>101</v>
      </c>
      <c r="J4" s="97" t="s">
        <v>102</v>
      </c>
      <c r="K4" s="97" t="s">
        <v>103</v>
      </c>
      <c r="L4" s="97" t="s">
        <v>104</v>
      </c>
      <c r="M4" s="97" t="s">
        <v>105</v>
      </c>
      <c r="N4" s="81"/>
      <c r="O4" s="81"/>
      <c r="P4" s="81"/>
      <c r="Q4" s="90"/>
      <c r="R4" s="90"/>
      <c r="S4" s="90"/>
      <c r="T4" s="90"/>
    </row>
    <row r="5" spans="1:20" ht="16.7" customHeight="1" x14ac:dyDescent="0.2">
      <c r="A5" s="90"/>
      <c r="B5" s="90"/>
      <c r="C5" s="90"/>
      <c r="D5" s="104" t="s">
        <v>68</v>
      </c>
      <c r="E5" s="104"/>
      <c r="F5" s="78" t="s">
        <v>74</v>
      </c>
      <c r="G5" s="150">
        <v>0.51</v>
      </c>
      <c r="H5" s="150">
        <v>0.52</v>
      </c>
      <c r="I5" s="150">
        <v>0.55000000000000004</v>
      </c>
      <c r="J5" s="150">
        <v>0.56000000000000005</v>
      </c>
      <c r="K5" s="150">
        <v>0.61</v>
      </c>
      <c r="L5" s="150">
        <v>0.65</v>
      </c>
      <c r="M5" s="150">
        <v>0.69</v>
      </c>
      <c r="N5" s="81"/>
      <c r="O5" s="81"/>
      <c r="P5" s="81"/>
      <c r="Q5" s="90"/>
      <c r="R5" s="90"/>
      <c r="S5" s="90"/>
      <c r="T5" s="90"/>
    </row>
    <row r="6" spans="1:20" ht="16.7" customHeight="1" x14ac:dyDescent="0.2">
      <c r="A6" s="90"/>
      <c r="B6" s="90"/>
      <c r="C6" s="90"/>
      <c r="D6" s="104" t="s">
        <v>69</v>
      </c>
      <c r="E6" s="104"/>
      <c r="F6" s="78" t="s">
        <v>75</v>
      </c>
      <c r="G6" s="111">
        <f t="shared" ref="G6:M6" si="0">+G5-0.02</f>
        <v>0.49</v>
      </c>
      <c r="H6" s="111">
        <f t="shared" ref="H6:I6" si="1">+H5-0.02</f>
        <v>0.5</v>
      </c>
      <c r="I6" s="111">
        <f t="shared" si="1"/>
        <v>0.53</v>
      </c>
      <c r="J6" s="111">
        <f t="shared" si="0"/>
        <v>0.54</v>
      </c>
      <c r="K6" s="111">
        <f t="shared" si="0"/>
        <v>0.59</v>
      </c>
      <c r="L6" s="111">
        <f t="shared" si="0"/>
        <v>0.63</v>
      </c>
      <c r="M6" s="111">
        <f t="shared" si="0"/>
        <v>0.66999999999999993</v>
      </c>
      <c r="N6" s="81"/>
      <c r="O6" s="81"/>
      <c r="P6" s="81"/>
      <c r="Q6" s="90"/>
      <c r="R6" s="90"/>
      <c r="S6" s="90"/>
      <c r="T6" s="90"/>
    </row>
    <row r="7" spans="1:20" ht="16.7" customHeight="1" x14ac:dyDescent="0.2">
      <c r="A7" s="90"/>
      <c r="B7" s="90"/>
      <c r="C7" s="90"/>
      <c r="D7" s="165" t="s">
        <v>70</v>
      </c>
      <c r="E7" s="165"/>
      <c r="F7" s="84"/>
      <c r="G7" s="84"/>
      <c r="H7" s="84"/>
      <c r="I7" s="84"/>
      <c r="J7" s="84"/>
      <c r="K7" s="84"/>
      <c r="L7" s="84"/>
      <c r="M7" s="84"/>
      <c r="N7" s="71"/>
      <c r="O7" s="71"/>
      <c r="P7" s="71"/>
      <c r="Q7" s="90"/>
      <c r="R7" s="90"/>
      <c r="S7" s="90"/>
      <c r="T7" s="90"/>
    </row>
    <row r="8" spans="1:20" ht="16.7" customHeight="1" x14ac:dyDescent="0.2">
      <c r="A8" s="90"/>
      <c r="B8" s="90"/>
      <c r="C8" s="90"/>
      <c r="D8" s="99"/>
      <c r="E8" s="99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90"/>
      <c r="R8" s="90"/>
      <c r="S8" s="90"/>
      <c r="T8" s="90"/>
    </row>
    <row r="9" spans="1:20" ht="16.7" customHeight="1" x14ac:dyDescent="0.25">
      <c r="A9" s="166" t="s">
        <v>93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</row>
    <row r="10" spans="1:20" s="91" customFormat="1" ht="16.7" customHeight="1" x14ac:dyDescent="0.25">
      <c r="A10" s="101" t="s">
        <v>0</v>
      </c>
      <c r="B10" s="101"/>
      <c r="C10" s="101"/>
      <c r="D10" s="101" t="s">
        <v>80</v>
      </c>
      <c r="E10" s="102"/>
      <c r="F10" s="102"/>
      <c r="G10" s="102"/>
      <c r="H10" s="143"/>
      <c r="I10" s="143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s="91" customFormat="1" ht="16.7" customHeight="1" x14ac:dyDescent="0.25">
      <c r="A11" s="101" t="s">
        <v>1</v>
      </c>
      <c r="B11" s="101"/>
      <c r="C11" s="101"/>
      <c r="D11" s="173" t="s">
        <v>95</v>
      </c>
      <c r="E11" s="173"/>
      <c r="H11" s="92"/>
      <c r="I11" s="92"/>
      <c r="J11" s="92"/>
      <c r="N11" s="93"/>
      <c r="O11" s="93"/>
      <c r="P11" s="93"/>
      <c r="Q11" s="93"/>
      <c r="R11" s="93"/>
      <c r="S11" s="93"/>
    </row>
    <row r="12" spans="1:20" s="91" customFormat="1" ht="16.7" customHeight="1" x14ac:dyDescent="0.25">
      <c r="A12" s="101" t="s">
        <v>2</v>
      </c>
      <c r="B12" s="101"/>
      <c r="C12" s="101"/>
      <c r="D12" s="164">
        <v>61480360</v>
      </c>
      <c r="E12" s="164"/>
    </row>
    <row r="13" spans="1:20" s="91" customFormat="1" ht="16.7" customHeight="1" thickBot="1" x14ac:dyDescent="0.3">
      <c r="A13" s="101" t="s">
        <v>3</v>
      </c>
      <c r="B13" s="101"/>
      <c r="C13" s="101"/>
      <c r="D13" s="93">
        <v>623</v>
      </c>
      <c r="E13" s="91" t="s">
        <v>4</v>
      </c>
      <c r="N13" s="91" t="s">
        <v>79</v>
      </c>
      <c r="R13" s="163">
        <f>D12</f>
        <v>61480360</v>
      </c>
      <c r="S13" s="163"/>
    </row>
    <row r="14" spans="1:20" s="91" customFormat="1" ht="16.7" customHeight="1" thickBot="1" x14ac:dyDescent="0.3">
      <c r="A14" s="101" t="s">
        <v>5</v>
      </c>
      <c r="B14" s="101"/>
      <c r="C14" s="101"/>
      <c r="D14" s="93">
        <f>+R25</f>
        <v>623</v>
      </c>
      <c r="E14" s="91" t="s">
        <v>4</v>
      </c>
      <c r="N14" s="91" t="s">
        <v>6</v>
      </c>
      <c r="R14" s="167" t="str">
        <f>D11</f>
        <v>905518-00-1</v>
      </c>
      <c r="S14" s="168"/>
      <c r="T14" s="112"/>
    </row>
    <row r="15" spans="1:20" s="91" customFormat="1" ht="16.7" customHeight="1" thickBot="1" x14ac:dyDescent="0.3">
      <c r="A15" s="101" t="s">
        <v>7</v>
      </c>
      <c r="B15" s="101"/>
      <c r="C15" s="101"/>
      <c r="D15" s="93">
        <f>D14-D13</f>
        <v>0</v>
      </c>
      <c r="E15" s="91" t="s">
        <v>4</v>
      </c>
      <c r="N15" s="91" t="s">
        <v>60</v>
      </c>
      <c r="R15" s="168" t="s">
        <v>71</v>
      </c>
      <c r="S15" s="168"/>
      <c r="T15" s="112"/>
    </row>
    <row r="16" spans="1:20" s="91" customFormat="1" ht="16.7" customHeight="1" thickBot="1" x14ac:dyDescent="0.3">
      <c r="A16" s="101" t="s">
        <v>9</v>
      </c>
      <c r="B16" s="101"/>
      <c r="C16" s="101"/>
      <c r="D16" s="93">
        <f>D25</f>
        <v>89</v>
      </c>
      <c r="E16" s="91" t="s">
        <v>10</v>
      </c>
      <c r="M16" s="91" t="s">
        <v>63</v>
      </c>
      <c r="N16" s="91" t="s">
        <v>11</v>
      </c>
      <c r="R16" s="168" t="s">
        <v>112</v>
      </c>
      <c r="S16" s="168"/>
    </row>
    <row r="17" spans="1:20" s="91" customFormat="1" ht="15" customHeight="1" x14ac:dyDescent="0.25">
      <c r="A17" s="101" t="s">
        <v>12</v>
      </c>
      <c r="B17" s="101"/>
      <c r="C17" s="101"/>
      <c r="D17" s="91" t="s">
        <v>65</v>
      </c>
    </row>
    <row r="18" spans="1:20" s="91" customFormat="1" ht="15" customHeight="1" x14ac:dyDescent="0.25">
      <c r="A18" s="101" t="s">
        <v>12</v>
      </c>
      <c r="B18" s="101"/>
      <c r="C18" s="101"/>
      <c r="D18" s="91" t="s">
        <v>66</v>
      </c>
    </row>
    <row r="19" spans="1:20" s="91" customFormat="1" ht="15" customHeight="1" x14ac:dyDescent="0.25">
      <c r="A19" s="101" t="s">
        <v>12</v>
      </c>
      <c r="B19" s="101"/>
      <c r="C19" s="101"/>
      <c r="D19" s="91" t="s">
        <v>67</v>
      </c>
    </row>
    <row r="20" spans="1:20" s="91" customFormat="1" ht="15" customHeight="1" x14ac:dyDescent="0.25">
      <c r="A20" s="101" t="s">
        <v>12</v>
      </c>
      <c r="B20" s="101"/>
      <c r="C20" s="101"/>
      <c r="D20" s="91" t="s">
        <v>77</v>
      </c>
    </row>
    <row r="21" spans="1:20" s="91" customFormat="1" ht="15" customHeight="1" thickBot="1" x14ac:dyDescent="0.3">
      <c r="A21" s="101" t="s">
        <v>12</v>
      </c>
      <c r="B21" s="101"/>
      <c r="C21" s="101"/>
      <c r="D21" s="91" t="s">
        <v>78</v>
      </c>
    </row>
    <row r="22" spans="1:20" ht="16.7" customHeight="1" x14ac:dyDescent="0.2">
      <c r="A22" s="5" t="s">
        <v>13</v>
      </c>
      <c r="B22" s="44"/>
      <c r="C22" s="6" t="s">
        <v>13</v>
      </c>
      <c r="D22" s="169" t="s">
        <v>14</v>
      </c>
      <c r="E22" s="169" t="s">
        <v>15</v>
      </c>
      <c r="F22" s="171" t="s">
        <v>16</v>
      </c>
      <c r="G22" s="174" t="s">
        <v>17</v>
      </c>
      <c r="H22" s="175"/>
      <c r="I22" s="175"/>
      <c r="J22" s="175"/>
      <c r="K22" s="175"/>
      <c r="L22" s="175"/>
      <c r="M22" s="175"/>
      <c r="N22" s="194" t="s">
        <v>61</v>
      </c>
      <c r="O22" s="195"/>
      <c r="P22" s="196"/>
      <c r="Q22" s="169" t="s">
        <v>18</v>
      </c>
      <c r="R22" s="171" t="s">
        <v>19</v>
      </c>
      <c r="S22" s="184" t="s">
        <v>20</v>
      </c>
      <c r="T22" s="186" t="s">
        <v>21</v>
      </c>
    </row>
    <row r="23" spans="1:20" ht="31.5" customHeight="1" thickBot="1" x14ac:dyDescent="0.25">
      <c r="A23" s="52" t="s">
        <v>22</v>
      </c>
      <c r="B23" s="9"/>
      <c r="C23" s="50" t="s">
        <v>58</v>
      </c>
      <c r="D23" s="170"/>
      <c r="E23" s="170"/>
      <c r="F23" s="172"/>
      <c r="G23" s="148" t="str">
        <f>G4</f>
        <v>XS</v>
      </c>
      <c r="H23" s="148" t="str">
        <f t="shared" ref="H23:I23" si="2">H4</f>
        <v>S</v>
      </c>
      <c r="I23" s="148" t="str">
        <f t="shared" si="2"/>
        <v>M</v>
      </c>
      <c r="J23" s="148" t="str">
        <f t="shared" ref="J23:M23" si="3">J4</f>
        <v>L</v>
      </c>
      <c r="K23" s="148" t="str">
        <f t="shared" si="3"/>
        <v>XL</v>
      </c>
      <c r="L23" s="148" t="str">
        <f t="shared" si="3"/>
        <v>XXL</v>
      </c>
      <c r="M23" s="148" t="str">
        <f t="shared" si="3"/>
        <v>XXL+</v>
      </c>
      <c r="N23" s="197"/>
      <c r="O23" s="198"/>
      <c r="P23" s="199"/>
      <c r="Q23" s="182"/>
      <c r="R23" s="172"/>
      <c r="S23" s="185"/>
      <c r="T23" s="187"/>
    </row>
    <row r="24" spans="1:20" ht="25.5" customHeight="1" thickBot="1" x14ac:dyDescent="0.25">
      <c r="A24" s="106">
        <v>1</v>
      </c>
      <c r="B24" s="113">
        <f>+D24</f>
        <v>89</v>
      </c>
      <c r="C24" s="114" t="s">
        <v>85</v>
      </c>
      <c r="D24" s="106">
        <v>89</v>
      </c>
      <c r="E24" s="70" t="s">
        <v>96</v>
      </c>
      <c r="F24" s="48">
        <v>8705596</v>
      </c>
      <c r="G24" s="149">
        <v>1</v>
      </c>
      <c r="H24" s="149">
        <v>1</v>
      </c>
      <c r="I24" s="149">
        <v>1</v>
      </c>
      <c r="J24" s="149">
        <v>1</v>
      </c>
      <c r="K24" s="149">
        <v>1</v>
      </c>
      <c r="L24" s="149">
        <v>1</v>
      </c>
      <c r="M24" s="149">
        <v>1</v>
      </c>
      <c r="N24" s="45">
        <f>SUM(G24:M24)</f>
        <v>7</v>
      </c>
      <c r="O24" s="46" t="s">
        <v>62</v>
      </c>
      <c r="P24" s="47">
        <v>1</v>
      </c>
      <c r="Q24" s="47">
        <f>+P24*N24</f>
        <v>7</v>
      </c>
      <c r="R24" s="115">
        <f>Q24*D24</f>
        <v>623</v>
      </c>
      <c r="S24" s="116">
        <f>(G24*G5+H24*H5+I24*I5+J24*J5+K24*K5+L24*L5+M24*M5)*P24+0.71</f>
        <v>4.8</v>
      </c>
      <c r="T24" s="117">
        <f>S24-0.42</f>
        <v>4.38</v>
      </c>
    </row>
    <row r="25" spans="1:20" ht="16.7" customHeight="1" thickBot="1" x14ac:dyDescent="0.25">
      <c r="A25" s="191" t="s">
        <v>23</v>
      </c>
      <c r="B25" s="192"/>
      <c r="C25" s="193"/>
      <c r="D25" s="82">
        <f>SUM(D24:D24)</f>
        <v>89</v>
      </c>
      <c r="E25" s="8" t="s">
        <v>10</v>
      </c>
      <c r="F25" s="118"/>
      <c r="G25" s="79">
        <v>89</v>
      </c>
      <c r="H25" s="79">
        <v>89</v>
      </c>
      <c r="I25" s="79">
        <v>89</v>
      </c>
      <c r="J25" s="79">
        <v>89</v>
      </c>
      <c r="K25" s="79">
        <v>89</v>
      </c>
      <c r="L25" s="79">
        <v>89</v>
      </c>
      <c r="M25" s="79">
        <v>89</v>
      </c>
      <c r="N25" s="176"/>
      <c r="O25" s="177"/>
      <c r="P25" s="178"/>
      <c r="Q25" s="49"/>
      <c r="R25" s="79">
        <f>SUM(R24:R24)</f>
        <v>623</v>
      </c>
      <c r="S25" s="49" t="s">
        <v>4</v>
      </c>
      <c r="T25" s="8"/>
    </row>
    <row r="26" spans="1:20" ht="16.7" customHeight="1" x14ac:dyDescent="0.2">
      <c r="A26" s="69"/>
      <c r="B26" s="69"/>
      <c r="C26" s="69"/>
      <c r="D26" s="83"/>
      <c r="E26" s="69"/>
      <c r="F26" s="11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83"/>
      <c r="S26" s="69"/>
      <c r="T26" s="69"/>
    </row>
    <row r="27" spans="1:20" ht="16.7" customHeight="1" x14ac:dyDescent="0.25">
      <c r="A27" s="166" t="s">
        <v>93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</row>
    <row r="28" spans="1:20" s="91" customFormat="1" ht="16.7" customHeight="1" x14ac:dyDescent="0.25">
      <c r="A28" s="152" t="s">
        <v>0</v>
      </c>
      <c r="B28" s="152"/>
      <c r="C28" s="152"/>
      <c r="D28" s="152" t="str">
        <f>+D10</f>
        <v>OLD NAVY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s="91" customFormat="1" ht="16.7" customHeight="1" x14ac:dyDescent="0.25">
      <c r="A29" s="152" t="s">
        <v>1</v>
      </c>
      <c r="B29" s="152"/>
      <c r="C29" s="152"/>
      <c r="D29" s="173" t="s">
        <v>98</v>
      </c>
      <c r="E29" s="173"/>
      <c r="H29" s="92"/>
      <c r="I29" s="92"/>
      <c r="J29" s="92"/>
      <c r="N29" s="93"/>
      <c r="O29" s="93"/>
      <c r="P29" s="93"/>
      <c r="Q29" s="93"/>
      <c r="R29" s="93"/>
      <c r="S29" s="93"/>
    </row>
    <row r="30" spans="1:20" s="91" customFormat="1" ht="16.7" customHeight="1" x14ac:dyDescent="0.25">
      <c r="A30" s="152" t="s">
        <v>2</v>
      </c>
      <c r="B30" s="152"/>
      <c r="C30" s="152"/>
      <c r="D30" s="164">
        <f>+D12</f>
        <v>61480360</v>
      </c>
      <c r="E30" s="164"/>
    </row>
    <row r="31" spans="1:20" s="91" customFormat="1" ht="16.7" customHeight="1" thickBot="1" x14ac:dyDescent="0.3">
      <c r="A31" s="152" t="s">
        <v>3</v>
      </c>
      <c r="B31" s="152"/>
      <c r="C31" s="152"/>
      <c r="D31" s="93">
        <v>623</v>
      </c>
      <c r="E31" s="91" t="s">
        <v>4</v>
      </c>
      <c r="N31" s="91" t="s">
        <v>79</v>
      </c>
      <c r="R31" s="163">
        <f>D30</f>
        <v>61480360</v>
      </c>
      <c r="S31" s="163"/>
    </row>
    <row r="32" spans="1:20" s="91" customFormat="1" ht="16.7" customHeight="1" thickBot="1" x14ac:dyDescent="0.3">
      <c r="A32" s="152" t="s">
        <v>5</v>
      </c>
      <c r="B32" s="152"/>
      <c r="C32" s="152"/>
      <c r="D32" s="93">
        <f>+R43</f>
        <v>623</v>
      </c>
      <c r="E32" s="91" t="s">
        <v>4</v>
      </c>
      <c r="N32" s="91" t="s">
        <v>6</v>
      </c>
      <c r="R32" s="167" t="str">
        <f>D29</f>
        <v>905518-02-1</v>
      </c>
      <c r="S32" s="168"/>
      <c r="T32" s="112"/>
    </row>
    <row r="33" spans="1:20" s="91" customFormat="1" ht="16.7" customHeight="1" thickBot="1" x14ac:dyDescent="0.3">
      <c r="A33" s="152" t="s">
        <v>7</v>
      </c>
      <c r="B33" s="152"/>
      <c r="C33" s="152"/>
      <c r="D33" s="93">
        <f>D32-D31</f>
        <v>0</v>
      </c>
      <c r="E33" s="91" t="s">
        <v>4</v>
      </c>
      <c r="N33" s="91" t="s">
        <v>60</v>
      </c>
      <c r="R33" s="168" t="s">
        <v>71</v>
      </c>
      <c r="S33" s="168"/>
      <c r="T33" s="112"/>
    </row>
    <row r="34" spans="1:20" s="91" customFormat="1" ht="16.7" customHeight="1" thickBot="1" x14ac:dyDescent="0.3">
      <c r="A34" s="152" t="s">
        <v>9</v>
      </c>
      <c r="B34" s="152"/>
      <c r="C34" s="152"/>
      <c r="D34" s="93">
        <f>D43</f>
        <v>89</v>
      </c>
      <c r="E34" s="91" t="s">
        <v>10</v>
      </c>
      <c r="M34" s="91" t="s">
        <v>63</v>
      </c>
      <c r="N34" s="91" t="s">
        <v>11</v>
      </c>
      <c r="R34" s="168" t="s">
        <v>111</v>
      </c>
      <c r="S34" s="168"/>
    </row>
    <row r="35" spans="1:20" s="91" customFormat="1" ht="15" customHeight="1" x14ac:dyDescent="0.25">
      <c r="A35" s="152" t="s">
        <v>12</v>
      </c>
      <c r="B35" s="152"/>
      <c r="C35" s="152"/>
      <c r="D35" s="91" t="s">
        <v>65</v>
      </c>
    </row>
    <row r="36" spans="1:20" s="91" customFormat="1" ht="15" customHeight="1" x14ac:dyDescent="0.25">
      <c r="A36" s="152" t="s">
        <v>12</v>
      </c>
      <c r="B36" s="152"/>
      <c r="C36" s="152"/>
      <c r="D36" s="91" t="s">
        <v>66</v>
      </c>
    </row>
    <row r="37" spans="1:20" s="91" customFormat="1" ht="15" customHeight="1" x14ac:dyDescent="0.25">
      <c r="A37" s="152" t="s">
        <v>12</v>
      </c>
      <c r="B37" s="152"/>
      <c r="C37" s="152"/>
      <c r="D37" s="91" t="s">
        <v>67</v>
      </c>
    </row>
    <row r="38" spans="1:20" s="91" customFormat="1" ht="15" customHeight="1" x14ac:dyDescent="0.25">
      <c r="A38" s="152" t="s">
        <v>12</v>
      </c>
      <c r="B38" s="152"/>
      <c r="C38" s="152"/>
      <c r="D38" s="91" t="s">
        <v>77</v>
      </c>
    </row>
    <row r="39" spans="1:20" s="91" customFormat="1" ht="15" customHeight="1" thickBot="1" x14ac:dyDescent="0.3">
      <c r="A39" s="152" t="s">
        <v>12</v>
      </c>
      <c r="B39" s="152"/>
      <c r="C39" s="152"/>
      <c r="D39" s="91" t="s">
        <v>78</v>
      </c>
    </row>
    <row r="40" spans="1:20" ht="16.7" customHeight="1" x14ac:dyDescent="0.2">
      <c r="A40" s="5" t="s">
        <v>13</v>
      </c>
      <c r="B40" s="44"/>
      <c r="C40" s="6" t="s">
        <v>13</v>
      </c>
      <c r="D40" s="169" t="s">
        <v>14</v>
      </c>
      <c r="E40" s="169" t="s">
        <v>15</v>
      </c>
      <c r="F40" s="171" t="s">
        <v>16</v>
      </c>
      <c r="G40" s="174" t="s">
        <v>17</v>
      </c>
      <c r="H40" s="175"/>
      <c r="I40" s="175"/>
      <c r="J40" s="175"/>
      <c r="K40" s="175"/>
      <c r="L40" s="175"/>
      <c r="M40" s="175"/>
      <c r="N40" s="194" t="s">
        <v>61</v>
      </c>
      <c r="O40" s="195"/>
      <c r="P40" s="196"/>
      <c r="Q40" s="169" t="s">
        <v>18</v>
      </c>
      <c r="R40" s="171" t="s">
        <v>19</v>
      </c>
      <c r="S40" s="184" t="s">
        <v>20</v>
      </c>
      <c r="T40" s="186" t="s">
        <v>21</v>
      </c>
    </row>
    <row r="41" spans="1:20" ht="31.5" customHeight="1" thickBot="1" x14ac:dyDescent="0.25">
      <c r="A41" s="52" t="s">
        <v>22</v>
      </c>
      <c r="B41" s="9"/>
      <c r="C41" s="50" t="s">
        <v>58</v>
      </c>
      <c r="D41" s="170"/>
      <c r="E41" s="170"/>
      <c r="F41" s="172"/>
      <c r="G41" s="148" t="str">
        <f>+G4</f>
        <v>XS</v>
      </c>
      <c r="H41" s="148" t="str">
        <f t="shared" ref="H41:M41" si="4">+H4</f>
        <v>S</v>
      </c>
      <c r="I41" s="148" t="str">
        <f t="shared" si="4"/>
        <v>M</v>
      </c>
      <c r="J41" s="148" t="str">
        <f t="shared" si="4"/>
        <v>L</v>
      </c>
      <c r="K41" s="148" t="str">
        <f t="shared" si="4"/>
        <v>XL</v>
      </c>
      <c r="L41" s="148" t="str">
        <f t="shared" si="4"/>
        <v>XXL</v>
      </c>
      <c r="M41" s="148" t="str">
        <f t="shared" si="4"/>
        <v>XXL+</v>
      </c>
      <c r="N41" s="197"/>
      <c r="O41" s="198"/>
      <c r="P41" s="199"/>
      <c r="Q41" s="182"/>
      <c r="R41" s="172"/>
      <c r="S41" s="185"/>
      <c r="T41" s="187"/>
    </row>
    <row r="42" spans="1:20" ht="25.5" customHeight="1" thickBot="1" x14ac:dyDescent="0.25">
      <c r="A42" s="106">
        <f>+B24+1</f>
        <v>90</v>
      </c>
      <c r="B42" s="113">
        <f>+B24+D42</f>
        <v>178</v>
      </c>
      <c r="C42" s="114" t="s">
        <v>85</v>
      </c>
      <c r="D42" s="106">
        <v>89</v>
      </c>
      <c r="E42" s="70" t="s">
        <v>97</v>
      </c>
      <c r="F42" s="48">
        <v>8705392</v>
      </c>
      <c r="G42" s="149">
        <v>1</v>
      </c>
      <c r="H42" s="149">
        <v>1</v>
      </c>
      <c r="I42" s="149">
        <v>1</v>
      </c>
      <c r="J42" s="149">
        <v>1</v>
      </c>
      <c r="K42" s="149">
        <v>1</v>
      </c>
      <c r="L42" s="149">
        <v>1</v>
      </c>
      <c r="M42" s="149">
        <v>1</v>
      </c>
      <c r="N42" s="45">
        <f>SUM(G42:M42)</f>
        <v>7</v>
      </c>
      <c r="O42" s="46" t="s">
        <v>62</v>
      </c>
      <c r="P42" s="47">
        <v>1</v>
      </c>
      <c r="Q42" s="47">
        <f>+P42*N42</f>
        <v>7</v>
      </c>
      <c r="R42" s="115">
        <f>Q42*D42</f>
        <v>623</v>
      </c>
      <c r="S42" s="116">
        <f>(G42*G5+H42*H5+I42*I5+J42*J5+K42*K5+L42*L5+M42*M5)*P42+0.71</f>
        <v>4.8</v>
      </c>
      <c r="T42" s="117">
        <f>S42-0.42</f>
        <v>4.38</v>
      </c>
    </row>
    <row r="43" spans="1:20" ht="16.7" customHeight="1" thickBot="1" x14ac:dyDescent="0.25">
      <c r="A43" s="191" t="s">
        <v>23</v>
      </c>
      <c r="B43" s="192"/>
      <c r="C43" s="193"/>
      <c r="D43" s="82">
        <f>SUM(D42:D42)</f>
        <v>89</v>
      </c>
      <c r="E43" s="8" t="s">
        <v>10</v>
      </c>
      <c r="F43" s="118"/>
      <c r="G43" s="79">
        <v>89</v>
      </c>
      <c r="H43" s="79">
        <v>89</v>
      </c>
      <c r="I43" s="79">
        <v>89</v>
      </c>
      <c r="J43" s="79">
        <v>89</v>
      </c>
      <c r="K43" s="79">
        <v>89</v>
      </c>
      <c r="L43" s="79">
        <v>89</v>
      </c>
      <c r="M43" s="79">
        <v>89</v>
      </c>
      <c r="N43" s="176"/>
      <c r="O43" s="177"/>
      <c r="P43" s="178"/>
      <c r="Q43" s="49"/>
      <c r="R43" s="79">
        <f>SUM(R42:R42)</f>
        <v>623</v>
      </c>
      <c r="S43" s="49" t="s">
        <v>4</v>
      </c>
      <c r="T43" s="8"/>
    </row>
    <row r="44" spans="1:20" ht="16.7" customHeight="1" x14ac:dyDescent="0.2">
      <c r="A44" s="69"/>
      <c r="B44" s="69"/>
      <c r="C44" s="69"/>
      <c r="D44" s="83"/>
      <c r="E44" s="69"/>
      <c r="F44" s="119"/>
      <c r="G44" s="83"/>
      <c r="H44" s="83"/>
      <c r="I44" s="83"/>
      <c r="J44" s="83"/>
      <c r="K44" s="83"/>
      <c r="L44" s="83"/>
      <c r="M44" s="83"/>
      <c r="N44" s="69"/>
      <c r="O44" s="69"/>
      <c r="P44" s="69"/>
      <c r="Q44" s="69"/>
      <c r="R44" s="83"/>
      <c r="S44" s="69"/>
      <c r="T44" s="69"/>
    </row>
    <row r="45" spans="1:20" ht="16.7" customHeight="1" x14ac:dyDescent="0.25">
      <c r="A45" s="183" t="s">
        <v>81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</row>
    <row r="46" spans="1:20" s="91" customFormat="1" ht="16.7" customHeight="1" x14ac:dyDescent="0.25">
      <c r="A46" s="101" t="s">
        <v>0</v>
      </c>
      <c r="B46" s="101"/>
      <c r="C46" s="101"/>
      <c r="D46" s="101" t="str">
        <f>D10</f>
        <v>OLD NAVY</v>
      </c>
      <c r="E46" s="102"/>
      <c r="F46" s="102"/>
      <c r="G46" s="102"/>
      <c r="H46" s="143"/>
      <c r="I46" s="143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</row>
    <row r="47" spans="1:20" s="91" customFormat="1" ht="16.7" customHeight="1" x14ac:dyDescent="0.25">
      <c r="A47" s="101" t="s">
        <v>1</v>
      </c>
      <c r="B47" s="101"/>
      <c r="C47" s="101"/>
      <c r="D47" s="105" t="str">
        <f>D11</f>
        <v>905518-00-1</v>
      </c>
      <c r="H47" s="92"/>
      <c r="I47" s="92"/>
      <c r="J47" s="92"/>
      <c r="N47" s="93"/>
      <c r="O47" s="93"/>
      <c r="P47" s="93"/>
      <c r="Q47" s="93"/>
      <c r="R47" s="93"/>
      <c r="S47" s="93"/>
    </row>
    <row r="48" spans="1:20" s="91" customFormat="1" ht="16.7" customHeight="1" x14ac:dyDescent="0.25">
      <c r="A48" s="101" t="s">
        <v>2</v>
      </c>
      <c r="B48" s="101"/>
      <c r="C48" s="101"/>
      <c r="D48" s="164">
        <f>D12</f>
        <v>61480360</v>
      </c>
      <c r="E48" s="164"/>
    </row>
    <row r="49" spans="1:20" s="91" customFormat="1" ht="15" customHeight="1" thickBot="1" x14ac:dyDescent="0.3">
      <c r="A49" s="101" t="s">
        <v>3</v>
      </c>
      <c r="B49" s="101"/>
      <c r="C49" s="101"/>
      <c r="D49" s="93">
        <v>534</v>
      </c>
      <c r="E49" s="91" t="s">
        <v>4</v>
      </c>
      <c r="N49" s="91" t="s">
        <v>79</v>
      </c>
      <c r="R49" s="163">
        <f>D48</f>
        <v>61480360</v>
      </c>
      <c r="S49" s="163"/>
    </row>
    <row r="50" spans="1:20" s="91" customFormat="1" ht="15" customHeight="1" thickBot="1" x14ac:dyDescent="0.3">
      <c r="A50" s="101" t="s">
        <v>5</v>
      </c>
      <c r="B50" s="101"/>
      <c r="C50" s="101"/>
      <c r="D50" s="93">
        <f>R70</f>
        <v>534</v>
      </c>
      <c r="E50" s="91" t="s">
        <v>4</v>
      </c>
      <c r="N50" s="91" t="s">
        <v>6</v>
      </c>
      <c r="R50" s="167" t="str">
        <f>D47</f>
        <v>905518-00-1</v>
      </c>
      <c r="S50" s="168"/>
      <c r="T50" s="112"/>
    </row>
    <row r="51" spans="1:20" s="91" customFormat="1" ht="15" customHeight="1" thickBot="1" x14ac:dyDescent="0.3">
      <c r="A51" s="101" t="s">
        <v>7</v>
      </c>
      <c r="B51" s="101"/>
      <c r="C51" s="101"/>
      <c r="D51" s="93">
        <f>D50-D49</f>
        <v>0</v>
      </c>
      <c r="E51" s="91" t="s">
        <v>4</v>
      </c>
      <c r="N51" s="91" t="s">
        <v>60</v>
      </c>
      <c r="R51" s="168" t="s">
        <v>8</v>
      </c>
      <c r="S51" s="168"/>
      <c r="T51" s="112"/>
    </row>
    <row r="52" spans="1:20" s="91" customFormat="1" ht="16.7" customHeight="1" thickBot="1" x14ac:dyDescent="0.3">
      <c r="A52" s="101" t="s">
        <v>9</v>
      </c>
      <c r="B52" s="101"/>
      <c r="C52" s="101"/>
      <c r="D52" s="93">
        <f>D70</f>
        <v>30</v>
      </c>
      <c r="E52" s="91" t="s">
        <v>10</v>
      </c>
      <c r="N52" s="91" t="s">
        <v>11</v>
      </c>
      <c r="R52" s="168" t="s">
        <v>110</v>
      </c>
      <c r="S52" s="168"/>
    </row>
    <row r="53" spans="1:20" s="91" customFormat="1" ht="16.7" customHeight="1" x14ac:dyDescent="0.25">
      <c r="A53" s="101" t="s">
        <v>12</v>
      </c>
      <c r="B53" s="101"/>
      <c r="C53" s="101"/>
      <c r="D53" s="91" t="s">
        <v>65</v>
      </c>
    </row>
    <row r="54" spans="1:20" s="91" customFormat="1" ht="16.7" customHeight="1" x14ac:dyDescent="0.25">
      <c r="A54" s="101" t="s">
        <v>12</v>
      </c>
      <c r="B54" s="101"/>
      <c r="C54" s="101"/>
      <c r="D54" s="91" t="s">
        <v>66</v>
      </c>
    </row>
    <row r="55" spans="1:20" s="91" customFormat="1" ht="16.7" customHeight="1" x14ac:dyDescent="0.25">
      <c r="A55" s="101" t="s">
        <v>12</v>
      </c>
      <c r="B55" s="101"/>
      <c r="C55" s="101"/>
      <c r="D55" s="91" t="s">
        <v>67</v>
      </c>
    </row>
    <row r="56" spans="1:20" s="91" customFormat="1" ht="15" customHeight="1" thickBot="1" x14ac:dyDescent="0.3">
      <c r="A56" s="101" t="s">
        <v>12</v>
      </c>
      <c r="B56" s="101"/>
      <c r="C56" s="101"/>
      <c r="D56" s="91" t="s">
        <v>77</v>
      </c>
    </row>
    <row r="57" spans="1:20" ht="16.7" customHeight="1" x14ac:dyDescent="0.2">
      <c r="A57" s="5" t="s">
        <v>13</v>
      </c>
      <c r="B57" s="44"/>
      <c r="C57" s="6" t="s">
        <v>13</v>
      </c>
      <c r="D57" s="169" t="s">
        <v>14</v>
      </c>
      <c r="E57" s="169" t="s">
        <v>15</v>
      </c>
      <c r="F57" s="171" t="s">
        <v>16</v>
      </c>
      <c r="G57" s="179" t="s">
        <v>17</v>
      </c>
      <c r="H57" s="180"/>
      <c r="I57" s="180"/>
      <c r="J57" s="180"/>
      <c r="K57" s="180"/>
      <c r="L57" s="180"/>
      <c r="M57" s="180"/>
      <c r="N57" s="180"/>
      <c r="O57" s="180"/>
      <c r="P57" s="181"/>
      <c r="Q57" s="169" t="s">
        <v>18</v>
      </c>
      <c r="R57" s="171" t="s">
        <v>19</v>
      </c>
      <c r="S57" s="184" t="s">
        <v>20</v>
      </c>
      <c r="T57" s="186" t="s">
        <v>21</v>
      </c>
    </row>
    <row r="58" spans="1:20" ht="21.75" customHeight="1" thickBot="1" x14ac:dyDescent="0.25">
      <c r="A58" s="108" t="s">
        <v>22</v>
      </c>
      <c r="B58" s="109"/>
      <c r="C58" s="7" t="s">
        <v>58</v>
      </c>
      <c r="D58" s="182"/>
      <c r="E58" s="182"/>
      <c r="F58" s="172"/>
      <c r="G58" s="144" t="str">
        <f t="shared" ref="G58:M58" si="5">G4</f>
        <v>XS</v>
      </c>
      <c r="H58" s="144" t="str">
        <f t="shared" ref="H58:I58" si="6">H4</f>
        <v>S</v>
      </c>
      <c r="I58" s="144" t="str">
        <f t="shared" si="6"/>
        <v>M</v>
      </c>
      <c r="J58" s="144" t="str">
        <f t="shared" si="5"/>
        <v>L</v>
      </c>
      <c r="K58" s="144" t="str">
        <f t="shared" si="5"/>
        <v>XL</v>
      </c>
      <c r="L58" s="144" t="str">
        <f t="shared" si="5"/>
        <v>XXL</v>
      </c>
      <c r="M58" s="144" t="str">
        <f t="shared" si="5"/>
        <v>XXL+</v>
      </c>
      <c r="N58" s="188"/>
      <c r="O58" s="189"/>
      <c r="P58" s="190"/>
      <c r="Q58" s="182"/>
      <c r="R58" s="172"/>
      <c r="S58" s="185"/>
      <c r="T58" s="187"/>
    </row>
    <row r="59" spans="1:20" ht="28.5" customHeight="1" x14ac:dyDescent="0.2">
      <c r="A59" s="120">
        <f>+B42+1</f>
        <v>179</v>
      </c>
      <c r="B59" s="121">
        <f>+B42+D59</f>
        <v>179</v>
      </c>
      <c r="C59" s="122" t="s">
        <v>84</v>
      </c>
      <c r="D59" s="123">
        <v>1</v>
      </c>
      <c r="E59" s="70" t="str">
        <f>E24</f>
        <v>TEAKWOOD</v>
      </c>
      <c r="F59" s="145">
        <v>8705369</v>
      </c>
      <c r="G59" s="145">
        <v>10</v>
      </c>
      <c r="H59" s="145"/>
      <c r="I59" s="145"/>
      <c r="J59" s="145"/>
      <c r="K59" s="145"/>
      <c r="L59" s="145"/>
      <c r="M59" s="145"/>
      <c r="N59" s="65"/>
      <c r="O59" s="66"/>
      <c r="P59" s="67"/>
      <c r="Q59" s="47">
        <f t="shared" ref="Q59:Q69" si="7">SUM(G59:P59)*2</f>
        <v>20</v>
      </c>
      <c r="R59" s="125">
        <f t="shared" ref="R59:R69" si="8">Q59*D59</f>
        <v>20</v>
      </c>
      <c r="S59" s="126">
        <f>Q59*M5+0.89</f>
        <v>14.69</v>
      </c>
      <c r="T59" s="127">
        <f t="shared" ref="T59" si="9">S59-0.24</f>
        <v>14.45</v>
      </c>
    </row>
    <row r="60" spans="1:20" ht="28.5" customHeight="1" x14ac:dyDescent="0.2">
      <c r="A60" s="120">
        <f>+B59+1</f>
        <v>180</v>
      </c>
      <c r="B60" s="121">
        <f>B59+D60</f>
        <v>180</v>
      </c>
      <c r="C60" s="122" t="s">
        <v>85</v>
      </c>
      <c r="D60" s="123">
        <v>1</v>
      </c>
      <c r="E60" s="70"/>
      <c r="F60" s="145">
        <v>8705369</v>
      </c>
      <c r="G60" s="145">
        <v>5</v>
      </c>
      <c r="H60" s="145"/>
      <c r="I60" s="145"/>
      <c r="J60" s="145"/>
      <c r="K60" s="145"/>
      <c r="L60" s="145"/>
      <c r="M60" s="145"/>
      <c r="N60" s="65"/>
      <c r="O60" s="66"/>
      <c r="P60" s="67"/>
      <c r="Q60" s="47">
        <f t="shared" si="7"/>
        <v>10</v>
      </c>
      <c r="R60" s="125">
        <f t="shared" si="8"/>
        <v>10</v>
      </c>
      <c r="S60" s="126">
        <f>+Q60*K5+0.89</f>
        <v>6.9899999999999993</v>
      </c>
      <c r="T60" s="127">
        <f t="shared" ref="T60:T69" si="10">S60-0.24</f>
        <v>6.7499999999999991</v>
      </c>
    </row>
    <row r="61" spans="1:20" ht="28.5" customHeight="1" x14ac:dyDescent="0.2">
      <c r="A61" s="120">
        <f t="shared" ref="A61:A69" si="11">+B60+1</f>
        <v>181</v>
      </c>
      <c r="B61" s="121">
        <f t="shared" ref="B61:B69" si="12">B60+D61</f>
        <v>181</v>
      </c>
      <c r="C61" s="122" t="s">
        <v>83</v>
      </c>
      <c r="D61" s="123">
        <v>1</v>
      </c>
      <c r="E61" s="70"/>
      <c r="F61" s="145">
        <v>8705369</v>
      </c>
      <c r="G61" s="145">
        <v>3</v>
      </c>
      <c r="H61" s="145"/>
      <c r="I61" s="145"/>
      <c r="J61" s="145"/>
      <c r="K61" s="145"/>
      <c r="L61" s="145"/>
      <c r="M61" s="145"/>
      <c r="N61" s="65"/>
      <c r="O61" s="66"/>
      <c r="P61" s="67"/>
      <c r="Q61" s="47">
        <f t="shared" ref="Q61" si="13">SUM(G61:P61)*2</f>
        <v>6</v>
      </c>
      <c r="R61" s="125">
        <f t="shared" ref="R61" si="14">Q61*D61</f>
        <v>6</v>
      </c>
      <c r="S61" s="126">
        <f>+Q61*K6+0.89</f>
        <v>4.43</v>
      </c>
      <c r="T61" s="127">
        <f t="shared" ref="T61" si="15">S61-0.24</f>
        <v>4.1899999999999995</v>
      </c>
    </row>
    <row r="62" spans="1:20" ht="28.5" customHeight="1" x14ac:dyDescent="0.2">
      <c r="A62" s="120">
        <f t="shared" si="11"/>
        <v>182</v>
      </c>
      <c r="B62" s="121">
        <f t="shared" si="12"/>
        <v>182</v>
      </c>
      <c r="C62" s="122" t="s">
        <v>84</v>
      </c>
      <c r="D62" s="123">
        <v>1</v>
      </c>
      <c r="E62" s="70"/>
      <c r="F62" s="145">
        <v>8705564</v>
      </c>
      <c r="G62" s="145"/>
      <c r="H62" s="145">
        <v>10</v>
      </c>
      <c r="I62" s="145"/>
      <c r="J62" s="145"/>
      <c r="K62" s="145"/>
      <c r="L62" s="145"/>
      <c r="M62" s="145"/>
      <c r="N62" s="65"/>
      <c r="O62" s="66"/>
      <c r="P62" s="67"/>
      <c r="Q62" s="47">
        <f t="shared" si="7"/>
        <v>20</v>
      </c>
      <c r="R62" s="125">
        <f t="shared" si="8"/>
        <v>20</v>
      </c>
      <c r="S62" s="126">
        <f>+Q62*L5+0.89</f>
        <v>13.89</v>
      </c>
      <c r="T62" s="127">
        <f t="shared" si="10"/>
        <v>13.65</v>
      </c>
    </row>
    <row r="63" spans="1:20" ht="28.5" customHeight="1" x14ac:dyDescent="0.2">
      <c r="A63" s="120">
        <f t="shared" si="11"/>
        <v>183</v>
      </c>
      <c r="B63" s="121">
        <f t="shared" si="12"/>
        <v>183</v>
      </c>
      <c r="C63" s="122" t="s">
        <v>94</v>
      </c>
      <c r="D63" s="123">
        <v>1</v>
      </c>
      <c r="E63" s="70"/>
      <c r="F63" s="145">
        <v>8705564</v>
      </c>
      <c r="G63" s="145"/>
      <c r="H63" s="145">
        <v>2</v>
      </c>
      <c r="I63" s="145"/>
      <c r="J63" s="145"/>
      <c r="K63" s="145"/>
      <c r="L63" s="145"/>
      <c r="M63" s="145"/>
      <c r="N63" s="65"/>
      <c r="O63" s="66"/>
      <c r="P63" s="67"/>
      <c r="Q63" s="47">
        <f t="shared" si="7"/>
        <v>4</v>
      </c>
      <c r="R63" s="125">
        <f t="shared" si="8"/>
        <v>4</v>
      </c>
      <c r="S63" s="126">
        <f>+Q63*L5+0.71</f>
        <v>3.31</v>
      </c>
      <c r="T63" s="127">
        <f t="shared" si="10"/>
        <v>3.0700000000000003</v>
      </c>
    </row>
    <row r="64" spans="1:20" ht="28.5" customHeight="1" x14ac:dyDescent="0.2">
      <c r="A64" s="120">
        <f t="shared" si="11"/>
        <v>184</v>
      </c>
      <c r="B64" s="121">
        <f t="shared" si="12"/>
        <v>192</v>
      </c>
      <c r="C64" s="122" t="s">
        <v>84</v>
      </c>
      <c r="D64" s="123">
        <v>9</v>
      </c>
      <c r="E64" s="70"/>
      <c r="F64" s="145">
        <v>8705303</v>
      </c>
      <c r="G64" s="145"/>
      <c r="H64" s="145"/>
      <c r="I64" s="145">
        <v>10</v>
      </c>
      <c r="J64" s="145"/>
      <c r="K64" s="145"/>
      <c r="L64" s="145"/>
      <c r="M64" s="145"/>
      <c r="N64" s="65"/>
      <c r="O64" s="66"/>
      <c r="P64" s="67"/>
      <c r="Q64" s="47">
        <f t="shared" ref="Q64" si="16">SUM(G64:P64)*2</f>
        <v>20</v>
      </c>
      <c r="R64" s="125">
        <f t="shared" ref="R64" si="17">Q64*D64</f>
        <v>180</v>
      </c>
      <c r="S64" s="126">
        <f>+Q64*I5+0.89</f>
        <v>11.89</v>
      </c>
      <c r="T64" s="127">
        <f t="shared" si="10"/>
        <v>11.65</v>
      </c>
    </row>
    <row r="65" spans="1:20" ht="28.5" customHeight="1" x14ac:dyDescent="0.2">
      <c r="A65" s="120">
        <f t="shared" si="11"/>
        <v>193</v>
      </c>
      <c r="B65" s="121">
        <f t="shared" si="12"/>
        <v>193</v>
      </c>
      <c r="C65" s="122" t="s">
        <v>85</v>
      </c>
      <c r="D65" s="123">
        <v>1</v>
      </c>
      <c r="E65" s="70"/>
      <c r="F65" s="145">
        <v>8705303</v>
      </c>
      <c r="G65" s="145"/>
      <c r="H65" s="145"/>
      <c r="I65" s="145">
        <v>5</v>
      </c>
      <c r="J65" s="145"/>
      <c r="K65" s="145"/>
      <c r="L65" s="145"/>
      <c r="M65" s="145"/>
      <c r="N65" s="65"/>
      <c r="O65" s="66"/>
      <c r="P65" s="67"/>
      <c r="Q65" s="47">
        <f t="shared" si="7"/>
        <v>10</v>
      </c>
      <c r="R65" s="125">
        <f t="shared" si="8"/>
        <v>10</v>
      </c>
      <c r="S65" s="126">
        <f>+Q65*M5+0.89</f>
        <v>7.7899999999999991</v>
      </c>
      <c r="T65" s="127">
        <f t="shared" ref="T65:T66" si="18">S65-0.24</f>
        <v>7.5499999999999989</v>
      </c>
    </row>
    <row r="66" spans="1:20" ht="28.5" customHeight="1" x14ac:dyDescent="0.2">
      <c r="A66" s="120">
        <f t="shared" si="11"/>
        <v>194</v>
      </c>
      <c r="B66" s="121">
        <f t="shared" si="12"/>
        <v>202</v>
      </c>
      <c r="C66" s="122" t="s">
        <v>84</v>
      </c>
      <c r="D66" s="123">
        <v>9</v>
      </c>
      <c r="E66" s="70"/>
      <c r="F66" s="145">
        <v>8705399</v>
      </c>
      <c r="G66" s="145"/>
      <c r="H66" s="145"/>
      <c r="I66" s="145"/>
      <c r="J66" s="145">
        <v>10</v>
      </c>
      <c r="K66" s="145"/>
      <c r="L66" s="145"/>
      <c r="M66" s="145"/>
      <c r="N66" s="65"/>
      <c r="O66" s="66"/>
      <c r="P66" s="67"/>
      <c r="Q66" s="47">
        <f t="shared" si="7"/>
        <v>20</v>
      </c>
      <c r="R66" s="125">
        <f t="shared" si="8"/>
        <v>180</v>
      </c>
      <c r="S66" s="126">
        <f>+Q66*M5+0.42</f>
        <v>14.219999999999999</v>
      </c>
      <c r="T66" s="127">
        <f t="shared" si="18"/>
        <v>13.979999999999999</v>
      </c>
    </row>
    <row r="67" spans="1:20" ht="28.5" customHeight="1" x14ac:dyDescent="0.2">
      <c r="A67" s="120">
        <f t="shared" si="11"/>
        <v>203</v>
      </c>
      <c r="B67" s="121">
        <f t="shared" si="12"/>
        <v>203</v>
      </c>
      <c r="C67" s="122" t="s">
        <v>84</v>
      </c>
      <c r="D67" s="123">
        <v>1</v>
      </c>
      <c r="E67" s="70"/>
      <c r="F67" s="145">
        <v>8705399</v>
      </c>
      <c r="G67" s="145"/>
      <c r="H67" s="145"/>
      <c r="I67" s="145"/>
      <c r="J67" s="145">
        <v>11</v>
      </c>
      <c r="K67" s="145"/>
      <c r="L67" s="145"/>
      <c r="M67" s="145"/>
      <c r="N67" s="65"/>
      <c r="O67" s="66"/>
      <c r="P67" s="67"/>
      <c r="Q67" s="47">
        <f t="shared" si="7"/>
        <v>22</v>
      </c>
      <c r="R67" s="125">
        <f t="shared" si="8"/>
        <v>22</v>
      </c>
      <c r="S67" s="126">
        <f>+Q67*J5+0.89</f>
        <v>13.21</v>
      </c>
      <c r="T67" s="127">
        <f t="shared" si="10"/>
        <v>12.97</v>
      </c>
    </row>
    <row r="68" spans="1:20" ht="28.5" customHeight="1" x14ac:dyDescent="0.2">
      <c r="A68" s="120">
        <f t="shared" si="11"/>
        <v>204</v>
      </c>
      <c r="B68" s="121">
        <f t="shared" si="12"/>
        <v>207</v>
      </c>
      <c r="C68" s="122" t="s">
        <v>84</v>
      </c>
      <c r="D68" s="123">
        <v>4</v>
      </c>
      <c r="E68" s="70"/>
      <c r="F68" s="145">
        <v>8705432</v>
      </c>
      <c r="G68" s="145"/>
      <c r="H68" s="145"/>
      <c r="I68" s="145"/>
      <c r="J68" s="145"/>
      <c r="K68" s="145">
        <v>9</v>
      </c>
      <c r="L68" s="145"/>
      <c r="M68" s="145"/>
      <c r="N68" s="65"/>
      <c r="O68" s="66"/>
      <c r="P68" s="67"/>
      <c r="Q68" s="47">
        <f t="shared" si="7"/>
        <v>18</v>
      </c>
      <c r="R68" s="125">
        <f t="shared" si="8"/>
        <v>72</v>
      </c>
      <c r="S68" s="126">
        <f>+Q68*K5+0.89</f>
        <v>11.870000000000001</v>
      </c>
      <c r="T68" s="127">
        <f t="shared" si="10"/>
        <v>11.63</v>
      </c>
    </row>
    <row r="69" spans="1:20" ht="28.5" customHeight="1" x14ac:dyDescent="0.2">
      <c r="A69" s="120">
        <f t="shared" si="11"/>
        <v>208</v>
      </c>
      <c r="B69" s="121">
        <f t="shared" si="12"/>
        <v>208</v>
      </c>
      <c r="C69" s="122" t="s">
        <v>85</v>
      </c>
      <c r="D69" s="123">
        <v>1</v>
      </c>
      <c r="E69" s="70"/>
      <c r="F69" s="145">
        <v>8705432</v>
      </c>
      <c r="G69" s="145"/>
      <c r="H69" s="145"/>
      <c r="I69" s="145"/>
      <c r="J69" s="145"/>
      <c r="K69" s="145">
        <v>5</v>
      </c>
      <c r="L69" s="145"/>
      <c r="M69" s="145"/>
      <c r="N69" s="65"/>
      <c r="O69" s="66"/>
      <c r="P69" s="67"/>
      <c r="Q69" s="47">
        <f t="shared" si="7"/>
        <v>10</v>
      </c>
      <c r="R69" s="125">
        <f t="shared" si="8"/>
        <v>10</v>
      </c>
      <c r="S69" s="126">
        <f>+Q69*K5+0.71</f>
        <v>6.81</v>
      </c>
      <c r="T69" s="127">
        <f t="shared" si="10"/>
        <v>6.5699999999999994</v>
      </c>
    </row>
    <row r="70" spans="1:20" ht="16.7" customHeight="1" thickBot="1" x14ac:dyDescent="0.3">
      <c r="A70" s="200" t="s">
        <v>23</v>
      </c>
      <c r="B70" s="201"/>
      <c r="C70" s="201"/>
      <c r="D70" s="103">
        <f>SUM(D59:D69)</f>
        <v>30</v>
      </c>
      <c r="E70" s="51" t="s">
        <v>13</v>
      </c>
      <c r="F70" s="146"/>
      <c r="G70" s="146">
        <v>36</v>
      </c>
      <c r="H70" s="146">
        <v>24</v>
      </c>
      <c r="I70" s="146">
        <v>190</v>
      </c>
      <c r="J70" s="146">
        <v>202</v>
      </c>
      <c r="K70" s="146">
        <v>82</v>
      </c>
      <c r="L70" s="146"/>
      <c r="M70" s="146"/>
      <c r="N70" s="202"/>
      <c r="O70" s="203"/>
      <c r="P70" s="204"/>
      <c r="Q70" s="100"/>
      <c r="R70" s="80">
        <f>SUM(R59:R69)</f>
        <v>534</v>
      </c>
      <c r="S70" s="53" t="s">
        <v>4</v>
      </c>
      <c r="T70" s="68"/>
    </row>
    <row r="71" spans="1:20" ht="16.7" customHeight="1" x14ac:dyDescent="0.25">
      <c r="A71" s="86"/>
      <c r="B71" s="86"/>
      <c r="C71" s="86"/>
      <c r="D71" s="87"/>
      <c r="E71" s="86"/>
      <c r="F71" s="129"/>
      <c r="G71" s="88"/>
      <c r="H71" s="88"/>
      <c r="I71" s="88"/>
      <c r="J71" s="88"/>
      <c r="K71" s="88"/>
      <c r="L71" s="88"/>
      <c r="M71" s="88"/>
      <c r="N71" s="86"/>
      <c r="O71" s="86"/>
      <c r="P71" s="86"/>
      <c r="Q71" s="86"/>
      <c r="R71" s="87"/>
      <c r="S71" s="89"/>
      <c r="T71" s="89"/>
    </row>
    <row r="72" spans="1:20" ht="16.7" customHeight="1" x14ac:dyDescent="0.25">
      <c r="A72" s="183" t="s">
        <v>81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</row>
    <row r="73" spans="1:20" s="91" customFormat="1" ht="16.7" customHeight="1" x14ac:dyDescent="0.25">
      <c r="A73" s="152" t="s">
        <v>0</v>
      </c>
      <c r="B73" s="152"/>
      <c r="C73" s="152"/>
      <c r="D73" s="152" t="str">
        <f>D36</f>
        <v>58.67 X 38.48 X 14.86 CM.G8S_SL</v>
      </c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</row>
    <row r="74" spans="1:20" s="91" customFormat="1" ht="16.7" customHeight="1" x14ac:dyDescent="0.25">
      <c r="A74" s="152" t="s">
        <v>1</v>
      </c>
      <c r="B74" s="152"/>
      <c r="C74" s="152"/>
      <c r="D74" s="157" t="str">
        <f>D37</f>
        <v>38.48 X 29.33 X 14.86 CM.G-8M</v>
      </c>
      <c r="H74" s="92"/>
      <c r="I74" s="92"/>
      <c r="J74" s="92"/>
      <c r="N74" s="93"/>
      <c r="O74" s="93"/>
      <c r="P74" s="93"/>
      <c r="Q74" s="93"/>
      <c r="R74" s="93"/>
      <c r="S74" s="93"/>
    </row>
    <row r="75" spans="1:20" s="91" customFormat="1" ht="16.7" customHeight="1" x14ac:dyDescent="0.25">
      <c r="A75" s="152" t="s">
        <v>2</v>
      </c>
      <c r="B75" s="152"/>
      <c r="C75" s="152"/>
      <c r="D75" s="164">
        <f>+D48</f>
        <v>61480360</v>
      </c>
      <c r="E75" s="164"/>
    </row>
    <row r="76" spans="1:20" s="91" customFormat="1" ht="15" customHeight="1" thickBot="1" x14ac:dyDescent="0.3">
      <c r="A76" s="152" t="s">
        <v>3</v>
      </c>
      <c r="B76" s="152"/>
      <c r="C76" s="152"/>
      <c r="D76" s="93">
        <v>510</v>
      </c>
      <c r="E76" s="91" t="s">
        <v>4</v>
      </c>
      <c r="N76" s="91" t="s">
        <v>79</v>
      </c>
      <c r="R76" s="163">
        <f>D75</f>
        <v>61480360</v>
      </c>
      <c r="S76" s="163"/>
    </row>
    <row r="77" spans="1:20" s="91" customFormat="1" ht="15" customHeight="1" thickBot="1" x14ac:dyDescent="0.3">
      <c r="A77" s="152" t="s">
        <v>5</v>
      </c>
      <c r="B77" s="152"/>
      <c r="C77" s="152"/>
      <c r="D77" s="93">
        <f>R93</f>
        <v>510</v>
      </c>
      <c r="E77" s="91" t="s">
        <v>4</v>
      </c>
      <c r="N77" s="91" t="s">
        <v>6</v>
      </c>
      <c r="R77" s="167" t="str">
        <f>D74</f>
        <v>38.48 X 29.33 X 14.86 CM.G-8M</v>
      </c>
      <c r="S77" s="168"/>
      <c r="T77" s="112"/>
    </row>
    <row r="78" spans="1:20" s="91" customFormat="1" ht="15" customHeight="1" thickBot="1" x14ac:dyDescent="0.3">
      <c r="A78" s="152" t="s">
        <v>7</v>
      </c>
      <c r="B78" s="152"/>
      <c r="C78" s="152"/>
      <c r="D78" s="93">
        <f>D77-D76</f>
        <v>0</v>
      </c>
      <c r="E78" s="91" t="s">
        <v>4</v>
      </c>
      <c r="N78" s="91" t="s">
        <v>60</v>
      </c>
      <c r="R78" s="168" t="s">
        <v>8</v>
      </c>
      <c r="S78" s="168"/>
      <c r="T78" s="112"/>
    </row>
    <row r="79" spans="1:20" s="91" customFormat="1" ht="16.7" customHeight="1" thickBot="1" x14ac:dyDescent="0.3">
      <c r="A79" s="152" t="s">
        <v>9</v>
      </c>
      <c r="B79" s="152"/>
      <c r="C79" s="152"/>
      <c r="D79" s="93">
        <f>D93</f>
        <v>27</v>
      </c>
      <c r="E79" s="91" t="s">
        <v>10</v>
      </c>
      <c r="N79" s="91" t="s">
        <v>11</v>
      </c>
      <c r="R79" s="168" t="s">
        <v>109</v>
      </c>
      <c r="S79" s="168"/>
    </row>
    <row r="80" spans="1:20" s="91" customFormat="1" ht="16.7" customHeight="1" x14ac:dyDescent="0.25">
      <c r="A80" s="152" t="s">
        <v>12</v>
      </c>
      <c r="B80" s="152"/>
      <c r="C80" s="152"/>
      <c r="D80" s="91" t="s">
        <v>65</v>
      </c>
    </row>
    <row r="81" spans="1:20" s="91" customFormat="1" ht="16.7" customHeight="1" x14ac:dyDescent="0.25">
      <c r="A81" s="152" t="s">
        <v>12</v>
      </c>
      <c r="B81" s="152"/>
      <c r="C81" s="152"/>
      <c r="D81" s="91" t="s">
        <v>66</v>
      </c>
    </row>
    <row r="82" spans="1:20" s="91" customFormat="1" ht="16.7" customHeight="1" x14ac:dyDescent="0.25">
      <c r="A82" s="152" t="s">
        <v>12</v>
      </c>
      <c r="B82" s="152"/>
      <c r="C82" s="152"/>
      <c r="D82" s="91" t="s">
        <v>67</v>
      </c>
    </row>
    <row r="83" spans="1:20" s="91" customFormat="1" ht="15" customHeight="1" thickBot="1" x14ac:dyDescent="0.3">
      <c r="A83" s="152" t="s">
        <v>12</v>
      </c>
      <c r="B83" s="152"/>
      <c r="C83" s="152"/>
      <c r="D83" s="91" t="s">
        <v>77</v>
      </c>
    </row>
    <row r="84" spans="1:20" ht="16.7" customHeight="1" x14ac:dyDescent="0.2">
      <c r="A84" s="5" t="s">
        <v>13</v>
      </c>
      <c r="B84" s="44"/>
      <c r="C84" s="6" t="s">
        <v>13</v>
      </c>
      <c r="D84" s="169" t="s">
        <v>14</v>
      </c>
      <c r="E84" s="169" t="s">
        <v>15</v>
      </c>
      <c r="F84" s="171" t="s">
        <v>16</v>
      </c>
      <c r="G84" s="179" t="s">
        <v>17</v>
      </c>
      <c r="H84" s="180"/>
      <c r="I84" s="180"/>
      <c r="J84" s="180"/>
      <c r="K84" s="180"/>
      <c r="L84" s="180"/>
      <c r="M84" s="180"/>
      <c r="N84" s="180"/>
      <c r="O84" s="180"/>
      <c r="P84" s="181"/>
      <c r="Q84" s="169" t="s">
        <v>18</v>
      </c>
      <c r="R84" s="171" t="s">
        <v>19</v>
      </c>
      <c r="S84" s="184" t="s">
        <v>20</v>
      </c>
      <c r="T84" s="186" t="s">
        <v>21</v>
      </c>
    </row>
    <row r="85" spans="1:20" ht="21.75" customHeight="1" thickBot="1" x14ac:dyDescent="0.25">
      <c r="A85" s="155" t="s">
        <v>22</v>
      </c>
      <c r="B85" s="156"/>
      <c r="C85" s="7" t="s">
        <v>58</v>
      </c>
      <c r="D85" s="182"/>
      <c r="E85" s="182"/>
      <c r="F85" s="172"/>
      <c r="G85" s="144" t="str">
        <f t="shared" ref="G85:M85" si="19">+G4</f>
        <v>XS</v>
      </c>
      <c r="H85" s="144" t="str">
        <f t="shared" si="19"/>
        <v>S</v>
      </c>
      <c r="I85" s="144" t="str">
        <f t="shared" si="19"/>
        <v>M</v>
      </c>
      <c r="J85" s="144" t="str">
        <f t="shared" si="19"/>
        <v>L</v>
      </c>
      <c r="K85" s="144" t="str">
        <f t="shared" si="19"/>
        <v>XL</v>
      </c>
      <c r="L85" s="144" t="str">
        <f t="shared" si="19"/>
        <v>XXL</v>
      </c>
      <c r="M85" s="144" t="str">
        <f t="shared" si="19"/>
        <v>XXL+</v>
      </c>
      <c r="N85" s="188"/>
      <c r="O85" s="189"/>
      <c r="P85" s="190"/>
      <c r="Q85" s="182"/>
      <c r="R85" s="172"/>
      <c r="S85" s="185"/>
      <c r="T85" s="187"/>
    </row>
    <row r="86" spans="1:20" ht="28.5" customHeight="1" x14ac:dyDescent="0.2">
      <c r="A86" s="120">
        <f>+B69+1</f>
        <v>209</v>
      </c>
      <c r="B86" s="121">
        <f>+B69+D86</f>
        <v>209</v>
      </c>
      <c r="C86" s="122" t="s">
        <v>85</v>
      </c>
      <c r="D86" s="123">
        <v>1</v>
      </c>
      <c r="E86" s="70" t="str">
        <f>+E42</f>
        <v>NAVY CAPTAIN</v>
      </c>
      <c r="F86" s="145">
        <v>8705562</v>
      </c>
      <c r="G86" s="145">
        <v>7</v>
      </c>
      <c r="H86" s="145"/>
      <c r="I86" s="145"/>
      <c r="J86" s="145"/>
      <c r="K86" s="145"/>
      <c r="L86" s="145"/>
      <c r="M86" s="145"/>
      <c r="N86" s="65"/>
      <c r="O86" s="66"/>
      <c r="P86" s="67"/>
      <c r="Q86" s="47">
        <f t="shared" ref="Q86:Q92" si="20">SUM(G86:P86)*2</f>
        <v>14</v>
      </c>
      <c r="R86" s="125">
        <f t="shared" ref="R86:R92" si="21">Q86*D86</f>
        <v>14</v>
      </c>
      <c r="S86" s="126">
        <f>+Q86*G5+0.71</f>
        <v>7.8500000000000005</v>
      </c>
      <c r="T86" s="127">
        <f t="shared" ref="T86:T92" si="22">S86-0.24</f>
        <v>7.61</v>
      </c>
    </row>
    <row r="87" spans="1:20" ht="28.5" customHeight="1" x14ac:dyDescent="0.2">
      <c r="A87" s="120">
        <f>+B86+1</f>
        <v>210</v>
      </c>
      <c r="B87" s="121">
        <f>+B86+D87</f>
        <v>210</v>
      </c>
      <c r="C87" s="122" t="s">
        <v>85</v>
      </c>
      <c r="D87" s="123">
        <v>1</v>
      </c>
      <c r="E87" s="70"/>
      <c r="F87" s="145">
        <v>8705301</v>
      </c>
      <c r="G87" s="145"/>
      <c r="H87" s="145">
        <v>8</v>
      </c>
      <c r="I87" s="145"/>
      <c r="J87" s="145"/>
      <c r="K87" s="145"/>
      <c r="L87" s="145"/>
      <c r="M87" s="145"/>
      <c r="N87" s="65"/>
      <c r="O87" s="66"/>
      <c r="P87" s="67"/>
      <c r="Q87" s="47">
        <f t="shared" si="20"/>
        <v>16</v>
      </c>
      <c r="R87" s="125">
        <f t="shared" si="21"/>
        <v>16</v>
      </c>
      <c r="S87" s="126">
        <f>+Q87*H5+0.71</f>
        <v>9.0300000000000011</v>
      </c>
      <c r="T87" s="127">
        <f t="shared" si="22"/>
        <v>8.7900000000000009</v>
      </c>
    </row>
    <row r="88" spans="1:20" ht="28.5" customHeight="1" x14ac:dyDescent="0.2">
      <c r="A88" s="120">
        <f t="shared" ref="A88:A92" si="23">+B87+1</f>
        <v>211</v>
      </c>
      <c r="B88" s="121">
        <f t="shared" ref="B88:B92" si="24">+B87+D88</f>
        <v>220</v>
      </c>
      <c r="C88" s="122" t="s">
        <v>84</v>
      </c>
      <c r="D88" s="123">
        <v>10</v>
      </c>
      <c r="E88" s="70"/>
      <c r="F88" s="145">
        <v>8705647</v>
      </c>
      <c r="G88" s="145"/>
      <c r="H88" s="145"/>
      <c r="I88" s="145">
        <v>10</v>
      </c>
      <c r="J88" s="145"/>
      <c r="K88" s="145"/>
      <c r="L88" s="145"/>
      <c r="M88" s="145"/>
      <c r="N88" s="65"/>
      <c r="O88" s="66"/>
      <c r="P88" s="67"/>
      <c r="Q88" s="47">
        <f t="shared" si="20"/>
        <v>20</v>
      </c>
      <c r="R88" s="125">
        <f t="shared" si="21"/>
        <v>200</v>
      </c>
      <c r="S88" s="126">
        <f>+Q88*I5+0.89</f>
        <v>11.89</v>
      </c>
      <c r="T88" s="127">
        <f t="shared" si="22"/>
        <v>11.65</v>
      </c>
    </row>
    <row r="89" spans="1:20" ht="28.5" customHeight="1" x14ac:dyDescent="0.2">
      <c r="A89" s="120">
        <f t="shared" si="23"/>
        <v>221</v>
      </c>
      <c r="B89" s="121">
        <f t="shared" si="24"/>
        <v>221</v>
      </c>
      <c r="C89" s="122" t="s">
        <v>85</v>
      </c>
      <c r="D89" s="123">
        <v>1</v>
      </c>
      <c r="E89" s="70"/>
      <c r="F89" s="145">
        <v>8705647</v>
      </c>
      <c r="G89" s="145"/>
      <c r="H89" s="145"/>
      <c r="I89" s="145">
        <v>5</v>
      </c>
      <c r="J89" s="145"/>
      <c r="K89" s="145"/>
      <c r="L89" s="145"/>
      <c r="M89" s="145"/>
      <c r="N89" s="65"/>
      <c r="O89" s="66"/>
      <c r="P89" s="67"/>
      <c r="Q89" s="47">
        <f t="shared" si="20"/>
        <v>10</v>
      </c>
      <c r="R89" s="125">
        <f t="shared" si="21"/>
        <v>10</v>
      </c>
      <c r="S89" s="126">
        <f>+Q89*I5+0.71</f>
        <v>6.21</v>
      </c>
      <c r="T89" s="127">
        <f t="shared" si="22"/>
        <v>5.97</v>
      </c>
    </row>
    <row r="90" spans="1:20" ht="28.5" customHeight="1" x14ac:dyDescent="0.2">
      <c r="A90" s="120">
        <f t="shared" si="23"/>
        <v>222</v>
      </c>
      <c r="B90" s="121">
        <f t="shared" si="24"/>
        <v>231</v>
      </c>
      <c r="C90" s="122" t="s">
        <v>84</v>
      </c>
      <c r="D90" s="123">
        <v>10</v>
      </c>
      <c r="E90" s="70"/>
      <c r="F90" s="145">
        <v>8705365</v>
      </c>
      <c r="G90" s="145"/>
      <c r="H90" s="145"/>
      <c r="I90" s="145"/>
      <c r="J90" s="145">
        <v>10</v>
      </c>
      <c r="K90" s="145"/>
      <c r="L90" s="145"/>
      <c r="M90" s="145"/>
      <c r="N90" s="65"/>
      <c r="O90" s="66"/>
      <c r="P90" s="67"/>
      <c r="Q90" s="47">
        <f t="shared" si="20"/>
        <v>20</v>
      </c>
      <c r="R90" s="125">
        <f t="shared" si="21"/>
        <v>200</v>
      </c>
      <c r="S90" s="126">
        <f>+Q90*J5+0.89</f>
        <v>12.090000000000002</v>
      </c>
      <c r="T90" s="127">
        <f t="shared" si="22"/>
        <v>11.850000000000001</v>
      </c>
    </row>
    <row r="91" spans="1:20" ht="28.5" customHeight="1" x14ac:dyDescent="0.2">
      <c r="A91" s="120">
        <f t="shared" si="23"/>
        <v>232</v>
      </c>
      <c r="B91" s="121">
        <f t="shared" si="24"/>
        <v>234</v>
      </c>
      <c r="C91" s="122" t="s">
        <v>84</v>
      </c>
      <c r="D91" s="123">
        <v>3</v>
      </c>
      <c r="E91" s="70"/>
      <c r="F91" s="145">
        <v>8705584</v>
      </c>
      <c r="G91" s="145"/>
      <c r="H91" s="145"/>
      <c r="I91" s="145"/>
      <c r="J91" s="145"/>
      <c r="K91" s="145">
        <v>9</v>
      </c>
      <c r="L91" s="145"/>
      <c r="M91" s="145"/>
      <c r="N91" s="65"/>
      <c r="O91" s="66"/>
      <c r="P91" s="67"/>
      <c r="Q91" s="47">
        <f t="shared" si="20"/>
        <v>18</v>
      </c>
      <c r="R91" s="125">
        <f t="shared" si="21"/>
        <v>54</v>
      </c>
      <c r="S91" s="126">
        <f>+Q91*K5+0.89</f>
        <v>11.870000000000001</v>
      </c>
      <c r="T91" s="127">
        <f t="shared" si="22"/>
        <v>11.63</v>
      </c>
    </row>
    <row r="92" spans="1:20" ht="28.5" customHeight="1" x14ac:dyDescent="0.2">
      <c r="A92" s="120">
        <f t="shared" si="23"/>
        <v>235</v>
      </c>
      <c r="B92" s="121">
        <f t="shared" si="24"/>
        <v>235</v>
      </c>
      <c r="C92" s="122" t="s">
        <v>84</v>
      </c>
      <c r="D92" s="123">
        <v>1</v>
      </c>
      <c r="E92" s="70"/>
      <c r="F92" s="145">
        <v>8705584</v>
      </c>
      <c r="G92" s="145"/>
      <c r="H92" s="145"/>
      <c r="I92" s="145"/>
      <c r="J92" s="145"/>
      <c r="K92" s="145">
        <v>8</v>
      </c>
      <c r="L92" s="145"/>
      <c r="M92" s="145"/>
      <c r="N92" s="65"/>
      <c r="O92" s="66"/>
      <c r="P92" s="67"/>
      <c r="Q92" s="47">
        <f t="shared" si="20"/>
        <v>16</v>
      </c>
      <c r="R92" s="125">
        <f t="shared" si="21"/>
        <v>16</v>
      </c>
      <c r="S92" s="126">
        <f>+Q92*K5+0.89</f>
        <v>10.65</v>
      </c>
      <c r="T92" s="127">
        <f t="shared" si="22"/>
        <v>10.41</v>
      </c>
    </row>
    <row r="93" spans="1:20" ht="16.7" customHeight="1" thickBot="1" x14ac:dyDescent="0.3">
      <c r="A93" s="200" t="s">
        <v>23</v>
      </c>
      <c r="B93" s="201"/>
      <c r="C93" s="201"/>
      <c r="D93" s="153">
        <f>SUM(D86:D92)</f>
        <v>27</v>
      </c>
      <c r="E93" s="51" t="s">
        <v>13</v>
      </c>
      <c r="F93" s="147"/>
      <c r="G93" s="146">
        <v>14</v>
      </c>
      <c r="H93" s="146">
        <v>16</v>
      </c>
      <c r="I93" s="146">
        <v>210</v>
      </c>
      <c r="J93" s="146">
        <v>200</v>
      </c>
      <c r="K93" s="146">
        <v>70</v>
      </c>
      <c r="L93" s="146"/>
      <c r="M93" s="146"/>
      <c r="N93" s="202"/>
      <c r="O93" s="203"/>
      <c r="P93" s="204"/>
      <c r="Q93" s="151"/>
      <c r="R93" s="80">
        <f>SUM(R86:R92)</f>
        <v>510</v>
      </c>
      <c r="S93" s="53" t="s">
        <v>4</v>
      </c>
      <c r="T93" s="68"/>
    </row>
    <row r="94" spans="1:20" ht="16.7" customHeight="1" x14ac:dyDescent="0.25">
      <c r="A94" s="183" t="s">
        <v>82</v>
      </c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</row>
    <row r="95" spans="1:20" ht="16.7" customHeight="1" x14ac:dyDescent="0.25">
      <c r="A95" s="86"/>
      <c r="B95" s="86"/>
      <c r="C95" s="86"/>
      <c r="D95" s="87"/>
      <c r="E95" s="86"/>
      <c r="F95" s="129"/>
      <c r="G95" s="88"/>
      <c r="H95" s="88"/>
      <c r="I95" s="88"/>
      <c r="J95" s="88"/>
      <c r="K95" s="88"/>
      <c r="L95" s="88"/>
      <c r="M95" s="88"/>
      <c r="N95" s="86"/>
      <c r="O95" s="86"/>
      <c r="P95" s="86"/>
      <c r="Q95" s="86"/>
      <c r="R95" s="87"/>
      <c r="S95" s="89"/>
      <c r="T95" s="89"/>
    </row>
    <row r="96" spans="1:20" s="91" customFormat="1" ht="16.7" customHeight="1" x14ac:dyDescent="0.25">
      <c r="A96" s="135" t="s">
        <v>0</v>
      </c>
      <c r="B96" s="135"/>
      <c r="C96" s="135"/>
      <c r="D96" s="135" t="str">
        <f>D46</f>
        <v>OLD NAVY</v>
      </c>
      <c r="E96" s="136"/>
      <c r="F96" s="136"/>
      <c r="G96" s="136"/>
      <c r="H96" s="143"/>
      <c r="I96" s="143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</row>
    <row r="97" spans="1:20" s="91" customFormat="1" ht="16.7" customHeight="1" x14ac:dyDescent="0.25">
      <c r="A97" s="135" t="s">
        <v>1</v>
      </c>
      <c r="B97" s="135"/>
      <c r="C97" s="135"/>
      <c r="D97" s="141" t="str">
        <f>D47</f>
        <v>905518-00-1</v>
      </c>
      <c r="H97" s="92"/>
      <c r="I97" s="92"/>
      <c r="J97" s="92"/>
      <c r="N97" s="93"/>
      <c r="O97" s="93"/>
      <c r="P97" s="93"/>
      <c r="Q97" s="93"/>
      <c r="R97" s="93"/>
      <c r="S97" s="93"/>
    </row>
    <row r="98" spans="1:20" s="91" customFormat="1" ht="16.7" customHeight="1" x14ac:dyDescent="0.25">
      <c r="A98" s="135" t="s">
        <v>2</v>
      </c>
      <c r="B98" s="135"/>
      <c r="C98" s="135"/>
      <c r="D98" s="164">
        <f>D48</f>
        <v>61480360</v>
      </c>
      <c r="E98" s="164"/>
    </row>
    <row r="99" spans="1:20" s="91" customFormat="1" ht="15" customHeight="1" thickBot="1" x14ac:dyDescent="0.3">
      <c r="A99" s="135" t="s">
        <v>3</v>
      </c>
      <c r="B99" s="135"/>
      <c r="C99" s="135"/>
      <c r="D99" s="93">
        <v>878</v>
      </c>
      <c r="E99" s="91" t="s">
        <v>4</v>
      </c>
      <c r="N99" s="91" t="s">
        <v>79</v>
      </c>
      <c r="R99" s="163">
        <f>D98</f>
        <v>61480360</v>
      </c>
      <c r="S99" s="163"/>
    </row>
    <row r="100" spans="1:20" s="91" customFormat="1" ht="15" customHeight="1" thickBot="1" x14ac:dyDescent="0.3">
      <c r="A100" s="135" t="s">
        <v>5</v>
      </c>
      <c r="B100" s="135"/>
      <c r="C100" s="135"/>
      <c r="D100" s="93">
        <f>R125</f>
        <v>935</v>
      </c>
      <c r="E100" s="91" t="s">
        <v>4</v>
      </c>
      <c r="N100" s="91" t="s">
        <v>6</v>
      </c>
      <c r="R100" s="167" t="str">
        <f>D97</f>
        <v>905518-00-1</v>
      </c>
      <c r="S100" s="168"/>
      <c r="T100" s="112"/>
    </row>
    <row r="101" spans="1:20" s="91" customFormat="1" ht="15" customHeight="1" thickBot="1" x14ac:dyDescent="0.3">
      <c r="A101" s="135" t="s">
        <v>7</v>
      </c>
      <c r="B101" s="135"/>
      <c r="C101" s="135"/>
      <c r="D101" s="93">
        <f>D100-D99</f>
        <v>57</v>
      </c>
      <c r="E101" s="91" t="s">
        <v>4</v>
      </c>
      <c r="N101" s="91" t="s">
        <v>60</v>
      </c>
      <c r="R101" s="168" t="s">
        <v>8</v>
      </c>
      <c r="S101" s="168"/>
      <c r="T101" s="112"/>
    </row>
    <row r="102" spans="1:20" s="91" customFormat="1" ht="16.7" customHeight="1" thickBot="1" x14ac:dyDescent="0.3">
      <c r="A102" s="135" t="s">
        <v>9</v>
      </c>
      <c r="B102" s="135"/>
      <c r="C102" s="135"/>
      <c r="D102" s="93">
        <f>D125</f>
        <v>53</v>
      </c>
      <c r="E102" s="91" t="s">
        <v>10</v>
      </c>
      <c r="N102" s="91" t="s">
        <v>11</v>
      </c>
      <c r="R102" s="168" t="s">
        <v>108</v>
      </c>
      <c r="S102" s="168"/>
    </row>
    <row r="103" spans="1:20" s="91" customFormat="1" ht="16.7" customHeight="1" x14ac:dyDescent="0.25">
      <c r="A103" s="135" t="s">
        <v>12</v>
      </c>
      <c r="B103" s="135"/>
      <c r="C103" s="135"/>
      <c r="D103" s="91" t="s">
        <v>65</v>
      </c>
    </row>
    <row r="104" spans="1:20" s="91" customFormat="1" ht="16.7" customHeight="1" x14ac:dyDescent="0.25">
      <c r="A104" s="135" t="s">
        <v>12</v>
      </c>
      <c r="B104" s="135"/>
      <c r="C104" s="135"/>
      <c r="D104" s="91" t="s">
        <v>66</v>
      </c>
    </row>
    <row r="105" spans="1:20" s="91" customFormat="1" ht="16.7" customHeight="1" x14ac:dyDescent="0.25">
      <c r="A105" s="135" t="s">
        <v>12</v>
      </c>
      <c r="B105" s="135"/>
      <c r="C105" s="135"/>
      <c r="D105" s="91" t="s">
        <v>67</v>
      </c>
    </row>
    <row r="106" spans="1:20" s="91" customFormat="1" ht="15" customHeight="1" thickBot="1" x14ac:dyDescent="0.3">
      <c r="A106" s="135" t="s">
        <v>12</v>
      </c>
      <c r="B106" s="135"/>
      <c r="C106" s="135"/>
      <c r="D106" s="91" t="s">
        <v>77</v>
      </c>
    </row>
    <row r="107" spans="1:20" ht="16.7" customHeight="1" x14ac:dyDescent="0.2">
      <c r="A107" s="5" t="s">
        <v>13</v>
      </c>
      <c r="B107" s="44"/>
      <c r="C107" s="6" t="s">
        <v>13</v>
      </c>
      <c r="D107" s="169" t="s">
        <v>14</v>
      </c>
      <c r="E107" s="169" t="s">
        <v>15</v>
      </c>
      <c r="F107" s="171" t="s">
        <v>16</v>
      </c>
      <c r="G107" s="179" t="s">
        <v>17</v>
      </c>
      <c r="H107" s="180"/>
      <c r="I107" s="180"/>
      <c r="J107" s="180"/>
      <c r="K107" s="180"/>
      <c r="L107" s="180"/>
      <c r="M107" s="180"/>
      <c r="N107" s="180"/>
      <c r="O107" s="180"/>
      <c r="P107" s="181"/>
      <c r="Q107" s="169" t="s">
        <v>18</v>
      </c>
      <c r="R107" s="171" t="s">
        <v>19</v>
      </c>
      <c r="S107" s="184" t="s">
        <v>20</v>
      </c>
      <c r="T107" s="186" t="s">
        <v>21</v>
      </c>
    </row>
    <row r="108" spans="1:20" ht="21.75" customHeight="1" thickBot="1" x14ac:dyDescent="0.25">
      <c r="A108" s="137" t="s">
        <v>22</v>
      </c>
      <c r="B108" s="138"/>
      <c r="C108" s="7" t="s">
        <v>58</v>
      </c>
      <c r="D108" s="182"/>
      <c r="E108" s="182"/>
      <c r="F108" s="172"/>
      <c r="G108" s="144" t="str">
        <f t="shared" ref="G108:M108" si="25">G4</f>
        <v>XS</v>
      </c>
      <c r="H108" s="144" t="str">
        <f t="shared" si="25"/>
        <v>S</v>
      </c>
      <c r="I108" s="144" t="str">
        <f t="shared" si="25"/>
        <v>M</v>
      </c>
      <c r="J108" s="144" t="str">
        <f t="shared" si="25"/>
        <v>L</v>
      </c>
      <c r="K108" s="144" t="str">
        <f t="shared" si="25"/>
        <v>XL</v>
      </c>
      <c r="L108" s="144" t="str">
        <f t="shared" si="25"/>
        <v>XXL</v>
      </c>
      <c r="M108" s="144" t="str">
        <f t="shared" si="25"/>
        <v>XXL+</v>
      </c>
      <c r="N108" s="188"/>
      <c r="O108" s="189"/>
      <c r="P108" s="190"/>
      <c r="Q108" s="182"/>
      <c r="R108" s="172"/>
      <c r="S108" s="185"/>
      <c r="T108" s="187"/>
    </row>
    <row r="109" spans="1:20" ht="28.5" customHeight="1" x14ac:dyDescent="0.2">
      <c r="A109" s="120">
        <f>+B92+1</f>
        <v>236</v>
      </c>
      <c r="B109" s="121">
        <f>+B92+D109</f>
        <v>236</v>
      </c>
      <c r="C109" s="122" t="s">
        <v>84</v>
      </c>
      <c r="D109" s="123">
        <v>1</v>
      </c>
      <c r="E109" s="70" t="str">
        <f>+E86</f>
        <v>NAVY CAPTAIN</v>
      </c>
      <c r="F109" s="124"/>
      <c r="G109" s="145">
        <v>20</v>
      </c>
      <c r="H109" s="145"/>
      <c r="I109" s="145"/>
      <c r="J109" s="145"/>
      <c r="K109" s="145"/>
      <c r="L109" s="145"/>
      <c r="M109" s="145"/>
      <c r="N109" s="65"/>
      <c r="O109" s="66"/>
      <c r="P109" s="67"/>
      <c r="Q109" s="47">
        <f t="shared" ref="Q109:Q124" si="26">SUM(G109:P109)</f>
        <v>20</v>
      </c>
      <c r="R109" s="125">
        <f t="shared" ref="R109:R124" si="27">Q109*D109</f>
        <v>20</v>
      </c>
      <c r="S109" s="126">
        <f>+Q109*G5+0.42</f>
        <v>10.62</v>
      </c>
      <c r="T109" s="127">
        <f t="shared" ref="T109:T124" si="28">S109-0.24</f>
        <v>10.379999999999999</v>
      </c>
    </row>
    <row r="110" spans="1:20" ht="28.5" customHeight="1" x14ac:dyDescent="0.2">
      <c r="A110" s="120">
        <f>+B109+1</f>
        <v>237</v>
      </c>
      <c r="B110" s="121">
        <f>+B109+D110</f>
        <v>237</v>
      </c>
      <c r="C110" s="122" t="s">
        <v>85</v>
      </c>
      <c r="D110" s="123">
        <v>1</v>
      </c>
      <c r="E110" s="70"/>
      <c r="F110" s="124"/>
      <c r="G110" s="145">
        <v>9</v>
      </c>
      <c r="H110" s="145"/>
      <c r="I110" s="145"/>
      <c r="J110" s="145"/>
      <c r="K110" s="145"/>
      <c r="L110" s="145"/>
      <c r="M110" s="145"/>
      <c r="N110" s="65"/>
      <c r="O110" s="66"/>
      <c r="P110" s="67"/>
      <c r="Q110" s="47">
        <f t="shared" si="26"/>
        <v>9</v>
      </c>
      <c r="R110" s="125">
        <f t="shared" si="27"/>
        <v>9</v>
      </c>
      <c r="S110" s="126">
        <f>+Q110*H5+0.42</f>
        <v>5.0999999999999996</v>
      </c>
      <c r="T110" s="127">
        <f t="shared" ref="T110:T123" si="29">S110-0.24</f>
        <v>4.8599999999999994</v>
      </c>
    </row>
    <row r="111" spans="1:20" ht="28.5" customHeight="1" x14ac:dyDescent="0.2">
      <c r="A111" s="120">
        <f t="shared" ref="A111:A124" si="30">+B110+1</f>
        <v>238</v>
      </c>
      <c r="B111" s="121">
        <f t="shared" ref="B111:B124" si="31">+B110+D111</f>
        <v>238</v>
      </c>
      <c r="C111" s="122" t="s">
        <v>94</v>
      </c>
      <c r="D111" s="123">
        <v>1</v>
      </c>
      <c r="E111" s="70"/>
      <c r="F111" s="124"/>
      <c r="G111" s="145">
        <v>3</v>
      </c>
      <c r="H111" s="145"/>
      <c r="I111" s="145"/>
      <c r="J111" s="145"/>
      <c r="K111" s="145"/>
      <c r="L111" s="145"/>
      <c r="M111" s="145"/>
      <c r="N111" s="65"/>
      <c r="O111" s="66"/>
      <c r="P111" s="67"/>
      <c r="Q111" s="47">
        <f t="shared" ref="Q111" si="32">SUM(G111:P111)</f>
        <v>3</v>
      </c>
      <c r="R111" s="125">
        <f t="shared" ref="R111" si="33">Q111*D111</f>
        <v>3</v>
      </c>
      <c r="S111" s="126">
        <f>+Q111*H6+0.42</f>
        <v>1.92</v>
      </c>
      <c r="T111" s="127">
        <f t="shared" ref="T111" si="34">S111-0.24</f>
        <v>1.68</v>
      </c>
    </row>
    <row r="112" spans="1:20" ht="28.5" customHeight="1" x14ac:dyDescent="0.2">
      <c r="A112" s="120">
        <f t="shared" si="30"/>
        <v>239</v>
      </c>
      <c r="B112" s="121">
        <f t="shared" si="31"/>
        <v>248</v>
      </c>
      <c r="C112" s="122" t="s">
        <v>84</v>
      </c>
      <c r="D112" s="123">
        <v>10</v>
      </c>
      <c r="E112" s="70"/>
      <c r="F112" s="124"/>
      <c r="G112" s="145"/>
      <c r="H112" s="145">
        <v>20</v>
      </c>
      <c r="I112" s="145"/>
      <c r="J112" s="145"/>
      <c r="K112" s="145"/>
      <c r="L112" s="145"/>
      <c r="M112" s="145"/>
      <c r="N112" s="65"/>
      <c r="O112" s="66"/>
      <c r="P112" s="67"/>
      <c r="Q112" s="47">
        <f t="shared" si="26"/>
        <v>20</v>
      </c>
      <c r="R112" s="125">
        <f t="shared" si="27"/>
        <v>200</v>
      </c>
      <c r="S112" s="126">
        <f>+Q112*I5+0.89</f>
        <v>11.89</v>
      </c>
      <c r="T112" s="127">
        <f t="shared" si="29"/>
        <v>11.65</v>
      </c>
    </row>
    <row r="113" spans="1:20" ht="28.5" customHeight="1" x14ac:dyDescent="0.2">
      <c r="A113" s="120">
        <f t="shared" si="30"/>
        <v>249</v>
      </c>
      <c r="B113" s="121">
        <f t="shared" si="31"/>
        <v>249</v>
      </c>
      <c r="C113" s="122" t="s">
        <v>85</v>
      </c>
      <c r="D113" s="123">
        <v>1</v>
      </c>
      <c r="E113" s="70"/>
      <c r="F113" s="124"/>
      <c r="G113" s="145"/>
      <c r="H113" s="145">
        <v>9</v>
      </c>
      <c r="I113" s="145"/>
      <c r="J113" s="145"/>
      <c r="K113" s="145"/>
      <c r="L113" s="145"/>
      <c r="M113" s="145"/>
      <c r="N113" s="65"/>
      <c r="O113" s="66"/>
      <c r="P113" s="67"/>
      <c r="Q113" s="47">
        <f t="shared" ref="Q113" si="35">SUM(G113:P113)</f>
        <v>9</v>
      </c>
      <c r="R113" s="125">
        <f t="shared" ref="R113" si="36">Q113*D113</f>
        <v>9</v>
      </c>
      <c r="S113" s="126">
        <f>+Q113*H5+0</f>
        <v>4.68</v>
      </c>
      <c r="T113" s="127">
        <f t="shared" si="29"/>
        <v>4.4399999999999995</v>
      </c>
    </row>
    <row r="114" spans="1:20" ht="28.5" customHeight="1" x14ac:dyDescent="0.2">
      <c r="A114" s="120">
        <f t="shared" si="30"/>
        <v>250</v>
      </c>
      <c r="B114" s="121">
        <f t="shared" si="31"/>
        <v>250</v>
      </c>
      <c r="C114" s="122" t="s">
        <v>83</v>
      </c>
      <c r="D114" s="123">
        <v>1</v>
      </c>
      <c r="E114" s="70"/>
      <c r="F114" s="124"/>
      <c r="G114" s="145"/>
      <c r="H114" s="145">
        <v>7</v>
      </c>
      <c r="I114" s="145"/>
      <c r="J114" s="145"/>
      <c r="K114" s="145"/>
      <c r="L114" s="145"/>
      <c r="M114" s="145"/>
      <c r="N114" s="65"/>
      <c r="O114" s="66"/>
      <c r="P114" s="67"/>
      <c r="Q114" s="47">
        <f t="shared" si="26"/>
        <v>7</v>
      </c>
      <c r="R114" s="125">
        <f t="shared" si="27"/>
        <v>7</v>
      </c>
      <c r="S114" s="126">
        <f>+Q114*I5+0.42</f>
        <v>4.2700000000000005</v>
      </c>
      <c r="T114" s="127">
        <f t="shared" ref="T114" si="37">S114-0.24</f>
        <v>4.03</v>
      </c>
    </row>
    <row r="115" spans="1:20" ht="28.5" customHeight="1" x14ac:dyDescent="0.2">
      <c r="A115" s="120">
        <f t="shared" si="30"/>
        <v>251</v>
      </c>
      <c r="B115" s="121">
        <f t="shared" si="31"/>
        <v>262</v>
      </c>
      <c r="C115" s="122" t="s">
        <v>84</v>
      </c>
      <c r="D115" s="123">
        <v>12</v>
      </c>
      <c r="E115" s="70"/>
      <c r="F115" s="124"/>
      <c r="G115" s="145"/>
      <c r="H115" s="145"/>
      <c r="I115" s="145">
        <v>20</v>
      </c>
      <c r="J115" s="145"/>
      <c r="K115" s="145"/>
      <c r="L115" s="145"/>
      <c r="M115" s="145"/>
      <c r="N115" s="65"/>
      <c r="O115" s="66"/>
      <c r="P115" s="67"/>
      <c r="Q115" s="47">
        <f t="shared" si="26"/>
        <v>20</v>
      </c>
      <c r="R115" s="125">
        <f t="shared" si="27"/>
        <v>240</v>
      </c>
      <c r="S115" s="126">
        <f>+Q115*I5+0.42</f>
        <v>11.42</v>
      </c>
      <c r="T115" s="127">
        <f t="shared" si="29"/>
        <v>11.18</v>
      </c>
    </row>
    <row r="116" spans="1:20" ht="28.5" customHeight="1" x14ac:dyDescent="0.2">
      <c r="A116" s="120">
        <f t="shared" si="30"/>
        <v>263</v>
      </c>
      <c r="B116" s="121">
        <f t="shared" si="31"/>
        <v>263</v>
      </c>
      <c r="C116" s="122" t="s">
        <v>84</v>
      </c>
      <c r="D116" s="123">
        <v>1</v>
      </c>
      <c r="E116" s="70"/>
      <c r="F116" s="124"/>
      <c r="G116" s="145"/>
      <c r="H116" s="145"/>
      <c r="I116" s="145">
        <v>16</v>
      </c>
      <c r="J116" s="145"/>
      <c r="K116" s="145"/>
      <c r="L116" s="145"/>
      <c r="M116" s="145"/>
      <c r="N116" s="65"/>
      <c r="O116" s="66"/>
      <c r="P116" s="67"/>
      <c r="Q116" s="47">
        <f t="shared" si="26"/>
        <v>16</v>
      </c>
      <c r="R116" s="125">
        <f t="shared" si="27"/>
        <v>16</v>
      </c>
      <c r="S116" s="126">
        <f>+Q116*J5+0.89</f>
        <v>9.8500000000000014</v>
      </c>
      <c r="T116" s="127">
        <f t="shared" ref="T116" si="38">S116-0.24</f>
        <v>9.6100000000000012</v>
      </c>
    </row>
    <row r="117" spans="1:20" ht="28.5" customHeight="1" x14ac:dyDescent="0.2">
      <c r="A117" s="120">
        <f t="shared" si="30"/>
        <v>264</v>
      </c>
      <c r="B117" s="121">
        <f t="shared" si="31"/>
        <v>274</v>
      </c>
      <c r="C117" s="122" t="s">
        <v>84</v>
      </c>
      <c r="D117" s="123">
        <v>11</v>
      </c>
      <c r="E117" s="70"/>
      <c r="F117" s="124"/>
      <c r="G117" s="145"/>
      <c r="H117" s="145"/>
      <c r="I117" s="145"/>
      <c r="J117" s="145">
        <v>20</v>
      </c>
      <c r="K117" s="145"/>
      <c r="L117" s="145"/>
      <c r="M117" s="145"/>
      <c r="N117" s="65"/>
      <c r="O117" s="66"/>
      <c r="P117" s="67"/>
      <c r="Q117" s="47">
        <f t="shared" si="26"/>
        <v>20</v>
      </c>
      <c r="R117" s="125">
        <f t="shared" si="27"/>
        <v>220</v>
      </c>
      <c r="S117" s="126">
        <f>+Q117*K5+0.71</f>
        <v>12.91</v>
      </c>
      <c r="T117" s="127">
        <f t="shared" ref="T117:T119" si="39">S117-0.24</f>
        <v>12.67</v>
      </c>
    </row>
    <row r="118" spans="1:20" ht="28.5" customHeight="1" x14ac:dyDescent="0.2">
      <c r="A118" s="120">
        <f t="shared" si="30"/>
        <v>275</v>
      </c>
      <c r="B118" s="121">
        <f t="shared" si="31"/>
        <v>275</v>
      </c>
      <c r="C118" s="122" t="s">
        <v>84</v>
      </c>
      <c r="D118" s="123">
        <v>1</v>
      </c>
      <c r="E118" s="70"/>
      <c r="F118" s="124"/>
      <c r="G118" s="145"/>
      <c r="H118" s="145"/>
      <c r="I118" s="145"/>
      <c r="J118" s="145">
        <v>19</v>
      </c>
      <c r="K118" s="145"/>
      <c r="L118" s="145"/>
      <c r="M118" s="145"/>
      <c r="N118" s="65"/>
      <c r="O118" s="66"/>
      <c r="P118" s="67"/>
      <c r="Q118" s="47">
        <f t="shared" si="26"/>
        <v>19</v>
      </c>
      <c r="R118" s="125">
        <f t="shared" si="27"/>
        <v>19</v>
      </c>
      <c r="S118" s="126">
        <f>+Q118*L5+0.89</f>
        <v>13.24</v>
      </c>
      <c r="T118" s="127">
        <f t="shared" si="39"/>
        <v>13</v>
      </c>
    </row>
    <row r="119" spans="1:20" ht="28.5" customHeight="1" x14ac:dyDescent="0.2">
      <c r="A119" s="120">
        <f t="shared" si="30"/>
        <v>276</v>
      </c>
      <c r="B119" s="121">
        <f t="shared" si="31"/>
        <v>283</v>
      </c>
      <c r="C119" s="122" t="s">
        <v>84</v>
      </c>
      <c r="D119" s="123">
        <v>8</v>
      </c>
      <c r="E119" s="70"/>
      <c r="F119" s="124"/>
      <c r="G119" s="145"/>
      <c r="H119" s="145"/>
      <c r="I119" s="145"/>
      <c r="J119" s="145"/>
      <c r="K119" s="145">
        <v>18</v>
      </c>
      <c r="L119" s="145"/>
      <c r="M119" s="145"/>
      <c r="N119" s="65"/>
      <c r="O119" s="66"/>
      <c r="P119" s="67"/>
      <c r="Q119" s="47">
        <f>SUM(G119:P119)</f>
        <v>18</v>
      </c>
      <c r="R119" s="125">
        <f t="shared" ref="R119" si="40">Q119*D119</f>
        <v>144</v>
      </c>
      <c r="S119" s="126">
        <f>+Q119*K5+0.71</f>
        <v>11.690000000000001</v>
      </c>
      <c r="T119" s="127">
        <f t="shared" si="39"/>
        <v>11.450000000000001</v>
      </c>
    </row>
    <row r="120" spans="1:20" ht="28.5" customHeight="1" x14ac:dyDescent="0.2">
      <c r="A120" s="120">
        <f t="shared" si="30"/>
        <v>284</v>
      </c>
      <c r="B120" s="121">
        <f t="shared" si="31"/>
        <v>284</v>
      </c>
      <c r="C120" s="122" t="s">
        <v>94</v>
      </c>
      <c r="D120" s="123">
        <v>1</v>
      </c>
      <c r="E120" s="70"/>
      <c r="F120" s="124"/>
      <c r="G120" s="145"/>
      <c r="H120" s="145"/>
      <c r="I120" s="145"/>
      <c r="J120" s="145"/>
      <c r="K120" s="145">
        <v>2</v>
      </c>
      <c r="L120" s="145"/>
      <c r="M120" s="145"/>
      <c r="N120" s="65"/>
      <c r="O120" s="66"/>
      <c r="P120" s="67"/>
      <c r="Q120" s="47">
        <f t="shared" si="26"/>
        <v>2</v>
      </c>
      <c r="R120" s="125">
        <f t="shared" si="27"/>
        <v>2</v>
      </c>
      <c r="S120" s="126">
        <f>+Q120*M5+0.89</f>
        <v>2.27</v>
      </c>
      <c r="T120" s="127">
        <f t="shared" ref="T120:T122" si="41">S120-0.24</f>
        <v>2.0300000000000002</v>
      </c>
    </row>
    <row r="121" spans="1:20" ht="28.5" customHeight="1" x14ac:dyDescent="0.2">
      <c r="A121" s="120">
        <f t="shared" si="30"/>
        <v>285</v>
      </c>
      <c r="B121" s="121">
        <f t="shared" si="31"/>
        <v>285</v>
      </c>
      <c r="C121" s="122" t="s">
        <v>84</v>
      </c>
      <c r="D121" s="123">
        <v>1</v>
      </c>
      <c r="E121" s="70"/>
      <c r="F121" s="124"/>
      <c r="G121" s="145"/>
      <c r="H121" s="145"/>
      <c r="I121" s="145"/>
      <c r="J121" s="145"/>
      <c r="K121" s="145"/>
      <c r="L121" s="145">
        <v>18</v>
      </c>
      <c r="M121" s="145"/>
      <c r="N121" s="65"/>
      <c r="O121" s="66"/>
      <c r="P121" s="67"/>
      <c r="Q121" s="47">
        <f t="shared" si="26"/>
        <v>18</v>
      </c>
      <c r="R121" s="125">
        <f t="shared" si="27"/>
        <v>18</v>
      </c>
      <c r="S121" s="126">
        <f>+Q121*M5+0.71</f>
        <v>13.129999999999999</v>
      </c>
      <c r="T121" s="127">
        <f t="shared" si="41"/>
        <v>12.889999999999999</v>
      </c>
    </row>
    <row r="122" spans="1:20" ht="28.5" customHeight="1" x14ac:dyDescent="0.2">
      <c r="A122" s="120">
        <f t="shared" si="30"/>
        <v>286</v>
      </c>
      <c r="B122" s="121">
        <f t="shared" si="31"/>
        <v>286</v>
      </c>
      <c r="C122" s="122" t="s">
        <v>85</v>
      </c>
      <c r="D122" s="123">
        <v>1</v>
      </c>
      <c r="E122" s="70"/>
      <c r="F122" s="124"/>
      <c r="G122" s="145"/>
      <c r="H122" s="145"/>
      <c r="I122" s="145"/>
      <c r="J122" s="145"/>
      <c r="K122" s="145"/>
      <c r="L122" s="145">
        <v>10</v>
      </c>
      <c r="M122" s="145"/>
      <c r="N122" s="65"/>
      <c r="O122" s="66"/>
      <c r="P122" s="67"/>
      <c r="Q122" s="47">
        <f>SUM(G122:P122)</f>
        <v>10</v>
      </c>
      <c r="R122" s="125">
        <f t="shared" ref="R122" si="42">Q122*D122</f>
        <v>10</v>
      </c>
      <c r="S122" s="126">
        <f>+Q122*L5+0.71</f>
        <v>7.21</v>
      </c>
      <c r="T122" s="127">
        <f t="shared" si="41"/>
        <v>6.97</v>
      </c>
    </row>
    <row r="123" spans="1:20" ht="28.5" customHeight="1" x14ac:dyDescent="0.2">
      <c r="A123" s="120">
        <f t="shared" si="30"/>
        <v>287</v>
      </c>
      <c r="B123" s="121">
        <f t="shared" si="31"/>
        <v>287</v>
      </c>
      <c r="C123" s="122" t="s">
        <v>94</v>
      </c>
      <c r="D123" s="123">
        <v>1</v>
      </c>
      <c r="E123" s="70"/>
      <c r="F123" s="124"/>
      <c r="G123" s="145"/>
      <c r="H123" s="145"/>
      <c r="I123" s="145"/>
      <c r="J123" s="145"/>
      <c r="K123" s="145"/>
      <c r="L123" s="145">
        <v>3</v>
      </c>
      <c r="M123" s="145"/>
      <c r="N123" s="65"/>
      <c r="O123" s="66"/>
      <c r="P123" s="67"/>
      <c r="Q123" s="47">
        <f t="shared" si="26"/>
        <v>3</v>
      </c>
      <c r="R123" s="125">
        <f t="shared" si="27"/>
        <v>3</v>
      </c>
      <c r="S123" s="126">
        <f>+Q123*L5+0.42</f>
        <v>2.37</v>
      </c>
      <c r="T123" s="127">
        <f t="shared" si="29"/>
        <v>2.13</v>
      </c>
    </row>
    <row r="124" spans="1:20" ht="28.5" customHeight="1" x14ac:dyDescent="0.2">
      <c r="A124" s="120">
        <f t="shared" si="30"/>
        <v>288</v>
      </c>
      <c r="B124" s="121">
        <f t="shared" si="31"/>
        <v>288</v>
      </c>
      <c r="C124" s="122" t="s">
        <v>84</v>
      </c>
      <c r="D124" s="123">
        <v>1</v>
      </c>
      <c r="E124" s="70"/>
      <c r="F124" s="124"/>
      <c r="G124" s="145"/>
      <c r="H124" s="145"/>
      <c r="I124" s="145"/>
      <c r="J124" s="145"/>
      <c r="K124" s="145"/>
      <c r="L124" s="145"/>
      <c r="M124" s="145">
        <v>15</v>
      </c>
      <c r="N124" s="65"/>
      <c r="O124" s="66"/>
      <c r="P124" s="67"/>
      <c r="Q124" s="47">
        <f t="shared" si="26"/>
        <v>15</v>
      </c>
      <c r="R124" s="125">
        <f t="shared" si="27"/>
        <v>15</v>
      </c>
      <c r="S124" s="126">
        <f>+Q124*M5+0.71</f>
        <v>11.059999999999999</v>
      </c>
      <c r="T124" s="127">
        <f t="shared" si="28"/>
        <v>10.819999999999999</v>
      </c>
    </row>
    <row r="125" spans="1:20" ht="16.7" customHeight="1" thickBot="1" x14ac:dyDescent="0.3">
      <c r="A125" s="200" t="s">
        <v>23</v>
      </c>
      <c r="B125" s="201"/>
      <c r="C125" s="201"/>
      <c r="D125" s="140">
        <f>SUM(D109:D124)</f>
        <v>53</v>
      </c>
      <c r="E125" s="51" t="s">
        <v>13</v>
      </c>
      <c r="F125" s="128"/>
      <c r="G125" s="146">
        <f>+R109+R110+R111</f>
        <v>32</v>
      </c>
      <c r="H125" s="146">
        <f>+R112+R114+R113</f>
        <v>216</v>
      </c>
      <c r="I125" s="146">
        <f>+R115+R116</f>
        <v>256</v>
      </c>
      <c r="J125" s="146">
        <f>+R117+R118</f>
        <v>239</v>
      </c>
      <c r="K125" s="146">
        <f>+R119+R120</f>
        <v>146</v>
      </c>
      <c r="L125" s="146">
        <f>+R121+R123+R122</f>
        <v>31</v>
      </c>
      <c r="M125" s="146">
        <f>+R124</f>
        <v>15</v>
      </c>
      <c r="N125" s="202"/>
      <c r="O125" s="203"/>
      <c r="P125" s="204"/>
      <c r="Q125" s="139"/>
      <c r="R125" s="80">
        <f>SUM(R109:R124)</f>
        <v>935</v>
      </c>
      <c r="S125" s="53" t="s">
        <v>4</v>
      </c>
      <c r="T125" s="68"/>
    </row>
    <row r="126" spans="1:20" ht="16.7" customHeight="1" x14ac:dyDescent="0.25">
      <c r="A126" s="86"/>
      <c r="B126" s="86"/>
      <c r="C126" s="86"/>
      <c r="D126" s="87"/>
      <c r="E126" s="86"/>
      <c r="F126" s="129"/>
      <c r="G126" s="88"/>
      <c r="H126" s="88"/>
      <c r="I126" s="88"/>
      <c r="J126" s="88"/>
      <c r="K126" s="88"/>
      <c r="L126" s="88"/>
      <c r="M126" s="88"/>
      <c r="N126" s="86"/>
      <c r="O126" s="86"/>
      <c r="P126" s="86"/>
      <c r="Q126" s="86"/>
      <c r="R126" s="87"/>
      <c r="S126" s="89"/>
      <c r="T126" s="89"/>
    </row>
    <row r="127" spans="1:20" ht="16.7" customHeight="1" x14ac:dyDescent="0.25">
      <c r="A127" s="183" t="s">
        <v>82</v>
      </c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</row>
    <row r="128" spans="1:20" ht="16.7" customHeight="1" x14ac:dyDescent="0.25">
      <c r="A128" s="86"/>
      <c r="B128" s="86"/>
      <c r="C128" s="86"/>
      <c r="D128" s="87"/>
      <c r="E128" s="86"/>
      <c r="F128" s="129"/>
      <c r="G128" s="88"/>
      <c r="H128" s="88"/>
      <c r="I128" s="88"/>
      <c r="J128" s="88"/>
      <c r="K128" s="88"/>
      <c r="L128" s="88"/>
      <c r="M128" s="88"/>
      <c r="N128" s="86"/>
      <c r="O128" s="86"/>
      <c r="P128" s="86"/>
      <c r="Q128" s="86"/>
      <c r="R128" s="87"/>
      <c r="S128" s="89"/>
      <c r="T128" s="89"/>
    </row>
    <row r="129" spans="1:20" s="91" customFormat="1" ht="16.7" customHeight="1" x14ac:dyDescent="0.25">
      <c r="A129" s="152" t="s">
        <v>0</v>
      </c>
      <c r="B129" s="152"/>
      <c r="C129" s="152"/>
      <c r="D129" s="152" t="str">
        <f>+D96</f>
        <v>OLD NAVY</v>
      </c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</row>
    <row r="130" spans="1:20" s="91" customFormat="1" ht="16.7" customHeight="1" x14ac:dyDescent="0.25">
      <c r="A130" s="152" t="s">
        <v>1</v>
      </c>
      <c r="B130" s="152"/>
      <c r="C130" s="152"/>
      <c r="D130" s="157" t="str">
        <f>+D97</f>
        <v>905518-00-1</v>
      </c>
      <c r="H130" s="92"/>
      <c r="I130" s="92"/>
      <c r="J130" s="92"/>
      <c r="N130" s="93"/>
      <c r="O130" s="93"/>
      <c r="P130" s="93"/>
      <c r="Q130" s="93"/>
      <c r="R130" s="93"/>
      <c r="S130" s="93"/>
    </row>
    <row r="131" spans="1:20" s="91" customFormat="1" ht="16.7" customHeight="1" x14ac:dyDescent="0.25">
      <c r="A131" s="152" t="s">
        <v>2</v>
      </c>
      <c r="B131" s="152"/>
      <c r="C131" s="152"/>
      <c r="D131" s="164">
        <f>+D98</f>
        <v>61480360</v>
      </c>
      <c r="E131" s="164"/>
    </row>
    <row r="132" spans="1:20" s="91" customFormat="1" ht="15" customHeight="1" thickBot="1" x14ac:dyDescent="0.3">
      <c r="A132" s="152" t="s">
        <v>3</v>
      </c>
      <c r="B132" s="152"/>
      <c r="C132" s="152"/>
      <c r="D132" s="93">
        <v>1430</v>
      </c>
      <c r="E132" s="91" t="s">
        <v>4</v>
      </c>
      <c r="N132" s="91" t="s">
        <v>79</v>
      </c>
      <c r="R132" s="163">
        <f>D131</f>
        <v>61480360</v>
      </c>
      <c r="S132" s="163"/>
    </row>
    <row r="133" spans="1:20" s="91" customFormat="1" ht="15" customHeight="1" thickBot="1" x14ac:dyDescent="0.3">
      <c r="A133" s="152" t="s">
        <v>5</v>
      </c>
      <c r="B133" s="152"/>
      <c r="C133" s="152"/>
      <c r="D133" s="93">
        <f>R155</f>
        <v>1505</v>
      </c>
      <c r="E133" s="91" t="s">
        <v>4</v>
      </c>
      <c r="N133" s="91" t="s">
        <v>6</v>
      </c>
      <c r="R133" s="167" t="str">
        <f>D130</f>
        <v>905518-00-1</v>
      </c>
      <c r="S133" s="168"/>
      <c r="T133" s="112"/>
    </row>
    <row r="134" spans="1:20" s="91" customFormat="1" ht="15" customHeight="1" thickBot="1" x14ac:dyDescent="0.3">
      <c r="A134" s="152" t="s">
        <v>7</v>
      </c>
      <c r="B134" s="152"/>
      <c r="C134" s="152"/>
      <c r="D134" s="93">
        <f>D133-D132</f>
        <v>75</v>
      </c>
      <c r="E134" s="91" t="s">
        <v>4</v>
      </c>
      <c r="N134" s="91" t="s">
        <v>60</v>
      </c>
      <c r="R134" s="168" t="s">
        <v>8</v>
      </c>
      <c r="S134" s="168"/>
      <c r="T134" s="112"/>
    </row>
    <row r="135" spans="1:20" s="91" customFormat="1" ht="16.7" customHeight="1" thickBot="1" x14ac:dyDescent="0.3">
      <c r="A135" s="152" t="s">
        <v>9</v>
      </c>
      <c r="B135" s="152"/>
      <c r="C135" s="152"/>
      <c r="D135" s="93">
        <f>D155</f>
        <v>80</v>
      </c>
      <c r="E135" s="91" t="s">
        <v>10</v>
      </c>
      <c r="N135" s="91" t="s">
        <v>11</v>
      </c>
      <c r="R135" s="168" t="s">
        <v>107</v>
      </c>
      <c r="S135" s="168"/>
    </row>
    <row r="136" spans="1:20" s="91" customFormat="1" ht="16.7" customHeight="1" x14ac:dyDescent="0.25">
      <c r="A136" s="152" t="s">
        <v>12</v>
      </c>
      <c r="B136" s="152"/>
      <c r="C136" s="152"/>
      <c r="D136" s="91" t="s">
        <v>65</v>
      </c>
    </row>
    <row r="137" spans="1:20" s="91" customFormat="1" ht="16.7" customHeight="1" x14ac:dyDescent="0.25">
      <c r="A137" s="152" t="s">
        <v>12</v>
      </c>
      <c r="B137" s="152"/>
      <c r="C137" s="152"/>
      <c r="D137" s="91" t="s">
        <v>66</v>
      </c>
    </row>
    <row r="138" spans="1:20" s="91" customFormat="1" ht="16.7" customHeight="1" x14ac:dyDescent="0.25">
      <c r="A138" s="152" t="s">
        <v>12</v>
      </c>
      <c r="B138" s="152"/>
      <c r="C138" s="152"/>
      <c r="D138" s="91" t="s">
        <v>67</v>
      </c>
    </row>
    <row r="139" spans="1:20" s="91" customFormat="1" ht="15" customHeight="1" thickBot="1" x14ac:dyDescent="0.3">
      <c r="A139" s="152" t="s">
        <v>12</v>
      </c>
      <c r="B139" s="152"/>
      <c r="C139" s="152"/>
      <c r="D139" s="91" t="s">
        <v>77</v>
      </c>
    </row>
    <row r="140" spans="1:20" ht="16.7" customHeight="1" x14ac:dyDescent="0.2">
      <c r="A140" s="5" t="s">
        <v>13</v>
      </c>
      <c r="B140" s="44"/>
      <c r="C140" s="6" t="s">
        <v>13</v>
      </c>
      <c r="D140" s="169" t="s">
        <v>14</v>
      </c>
      <c r="E140" s="169" t="s">
        <v>15</v>
      </c>
      <c r="F140" s="171" t="s">
        <v>16</v>
      </c>
      <c r="G140" s="179" t="s">
        <v>17</v>
      </c>
      <c r="H140" s="180"/>
      <c r="I140" s="180"/>
      <c r="J140" s="180"/>
      <c r="K140" s="180"/>
      <c r="L140" s="180"/>
      <c r="M140" s="180"/>
      <c r="N140" s="180"/>
      <c r="O140" s="180"/>
      <c r="P140" s="181"/>
      <c r="Q140" s="169" t="s">
        <v>18</v>
      </c>
      <c r="R140" s="171" t="s">
        <v>19</v>
      </c>
      <c r="S140" s="184" t="s">
        <v>20</v>
      </c>
      <c r="T140" s="186" t="s">
        <v>21</v>
      </c>
    </row>
    <row r="141" spans="1:20" ht="21.75" customHeight="1" thickBot="1" x14ac:dyDescent="0.25">
      <c r="A141" s="155" t="s">
        <v>22</v>
      </c>
      <c r="B141" s="156"/>
      <c r="C141" s="7" t="s">
        <v>58</v>
      </c>
      <c r="D141" s="182"/>
      <c r="E141" s="182"/>
      <c r="F141" s="172"/>
      <c r="G141" s="144" t="str">
        <f t="shared" ref="G141:M141" si="43">+G4</f>
        <v>XS</v>
      </c>
      <c r="H141" s="144" t="str">
        <f t="shared" si="43"/>
        <v>S</v>
      </c>
      <c r="I141" s="144" t="str">
        <f t="shared" si="43"/>
        <v>M</v>
      </c>
      <c r="J141" s="144" t="str">
        <f t="shared" si="43"/>
        <v>L</v>
      </c>
      <c r="K141" s="144" t="str">
        <f t="shared" si="43"/>
        <v>XL</v>
      </c>
      <c r="L141" s="144" t="str">
        <f t="shared" si="43"/>
        <v>XXL</v>
      </c>
      <c r="M141" s="144" t="str">
        <f t="shared" si="43"/>
        <v>XXL+</v>
      </c>
      <c r="N141" s="188"/>
      <c r="O141" s="189"/>
      <c r="P141" s="190"/>
      <c r="Q141" s="182"/>
      <c r="R141" s="172"/>
      <c r="S141" s="185"/>
      <c r="T141" s="187"/>
    </row>
    <row r="142" spans="1:20" ht="28.5" customHeight="1" x14ac:dyDescent="0.2">
      <c r="A142" s="120">
        <f>+B124+1</f>
        <v>289</v>
      </c>
      <c r="B142" s="121">
        <f>+B124+D142</f>
        <v>290</v>
      </c>
      <c r="C142" s="122" t="s">
        <v>84</v>
      </c>
      <c r="D142" s="123">
        <v>2</v>
      </c>
      <c r="E142" s="70" t="str">
        <f>+E59</f>
        <v>TEAKWOOD</v>
      </c>
      <c r="F142" s="124"/>
      <c r="G142" s="145">
        <v>20</v>
      </c>
      <c r="H142" s="145"/>
      <c r="I142" s="145"/>
      <c r="J142" s="145"/>
      <c r="K142" s="145"/>
      <c r="L142" s="145"/>
      <c r="M142" s="145"/>
      <c r="N142" s="65"/>
      <c r="O142" s="66"/>
      <c r="P142" s="67"/>
      <c r="Q142" s="47">
        <f t="shared" ref="Q142:Q154" si="44">SUM(G142:P142)</f>
        <v>20</v>
      </c>
      <c r="R142" s="125">
        <f t="shared" ref="R142:R154" si="45">Q142*D142</f>
        <v>40</v>
      </c>
      <c r="S142" s="126">
        <f>+Q142*G5+0.89</f>
        <v>11.09</v>
      </c>
      <c r="T142" s="127">
        <f t="shared" ref="T142:T154" si="46">S142-0.24</f>
        <v>10.85</v>
      </c>
    </row>
    <row r="143" spans="1:20" ht="28.5" customHeight="1" x14ac:dyDescent="0.2">
      <c r="A143" s="120">
        <f>+B142+1</f>
        <v>291</v>
      </c>
      <c r="B143" s="121">
        <f>+B142+D143</f>
        <v>291</v>
      </c>
      <c r="C143" s="122" t="s">
        <v>84</v>
      </c>
      <c r="D143" s="123">
        <v>1</v>
      </c>
      <c r="E143" s="70"/>
      <c r="F143" s="124"/>
      <c r="G143" s="145">
        <v>18</v>
      </c>
      <c r="H143" s="145"/>
      <c r="I143" s="145"/>
      <c r="J143" s="145"/>
      <c r="K143" s="145"/>
      <c r="L143" s="145"/>
      <c r="M143" s="145"/>
      <c r="N143" s="65"/>
      <c r="O143" s="66"/>
      <c r="P143" s="67"/>
      <c r="Q143" s="47">
        <f t="shared" si="44"/>
        <v>18</v>
      </c>
      <c r="R143" s="125">
        <f t="shared" si="45"/>
        <v>18</v>
      </c>
      <c r="S143" s="126">
        <f>+Q143*G6+0.89</f>
        <v>9.7100000000000009</v>
      </c>
      <c r="T143" s="127">
        <f t="shared" si="46"/>
        <v>9.4700000000000006</v>
      </c>
    </row>
    <row r="144" spans="1:20" ht="28.5" customHeight="1" x14ac:dyDescent="0.2">
      <c r="A144" s="120">
        <f t="shared" ref="A144:A154" si="47">+B143+1</f>
        <v>292</v>
      </c>
      <c r="B144" s="121">
        <f t="shared" ref="B144:B154" si="48">+B143+D144</f>
        <v>306</v>
      </c>
      <c r="C144" s="122" t="s">
        <v>84</v>
      </c>
      <c r="D144" s="123">
        <v>15</v>
      </c>
      <c r="E144" s="70"/>
      <c r="F144" s="124"/>
      <c r="G144" s="145"/>
      <c r="H144" s="145">
        <v>20</v>
      </c>
      <c r="I144" s="145"/>
      <c r="J144" s="145"/>
      <c r="K144" s="145"/>
      <c r="L144" s="145"/>
      <c r="M144" s="145"/>
      <c r="N144" s="65"/>
      <c r="O144" s="66"/>
      <c r="P144" s="67"/>
      <c r="Q144" s="47">
        <f t="shared" ref="Q144" si="49">SUM(G144:P144)</f>
        <v>20</v>
      </c>
      <c r="R144" s="125">
        <f t="shared" ref="R144" si="50">Q144*D144</f>
        <v>300</v>
      </c>
      <c r="S144" s="126">
        <f>+Q144*H5+0.71</f>
        <v>11.11</v>
      </c>
      <c r="T144" s="127">
        <f t="shared" ref="T144" si="51">S144-0.24</f>
        <v>10.87</v>
      </c>
    </row>
    <row r="145" spans="1:20" ht="28.5" customHeight="1" x14ac:dyDescent="0.2">
      <c r="A145" s="120">
        <f t="shared" si="47"/>
        <v>307</v>
      </c>
      <c r="B145" s="121">
        <f t="shared" si="48"/>
        <v>307</v>
      </c>
      <c r="C145" s="122" t="s">
        <v>85</v>
      </c>
      <c r="D145" s="123">
        <v>1</v>
      </c>
      <c r="E145" s="70"/>
      <c r="F145" s="124"/>
      <c r="G145" s="145"/>
      <c r="H145" s="145">
        <v>11</v>
      </c>
      <c r="I145" s="145"/>
      <c r="J145" s="145"/>
      <c r="K145" s="145"/>
      <c r="L145" s="145"/>
      <c r="M145" s="145"/>
      <c r="N145" s="65"/>
      <c r="O145" s="66"/>
      <c r="P145" s="67"/>
      <c r="Q145" s="47">
        <f t="shared" si="44"/>
        <v>11</v>
      </c>
      <c r="R145" s="125">
        <f t="shared" si="45"/>
        <v>11</v>
      </c>
      <c r="S145" s="126">
        <f>+Q145*H6+0.71</f>
        <v>6.21</v>
      </c>
      <c r="T145" s="127">
        <f t="shared" si="46"/>
        <v>5.97</v>
      </c>
    </row>
    <row r="146" spans="1:20" ht="28.5" customHeight="1" x14ac:dyDescent="0.2">
      <c r="A146" s="120">
        <f t="shared" si="47"/>
        <v>308</v>
      </c>
      <c r="B146" s="121">
        <f t="shared" si="48"/>
        <v>329</v>
      </c>
      <c r="C146" s="122" t="s">
        <v>84</v>
      </c>
      <c r="D146" s="123">
        <v>22</v>
      </c>
      <c r="E146" s="70"/>
      <c r="F146" s="124"/>
      <c r="G146" s="145"/>
      <c r="H146" s="145"/>
      <c r="I146" s="145">
        <v>20</v>
      </c>
      <c r="J146" s="145"/>
      <c r="K146" s="145"/>
      <c r="L146" s="145"/>
      <c r="M146" s="145"/>
      <c r="N146" s="65"/>
      <c r="O146" s="66"/>
      <c r="P146" s="67"/>
      <c r="Q146" s="47">
        <f t="shared" si="44"/>
        <v>20</v>
      </c>
      <c r="R146" s="125">
        <f t="shared" si="45"/>
        <v>440</v>
      </c>
      <c r="S146" s="126">
        <f>+Q146*I5+0.89</f>
        <v>11.89</v>
      </c>
      <c r="T146" s="127">
        <f t="shared" si="46"/>
        <v>11.65</v>
      </c>
    </row>
    <row r="147" spans="1:20" ht="28.5" customHeight="1" x14ac:dyDescent="0.2">
      <c r="A147" s="120">
        <f t="shared" si="47"/>
        <v>330</v>
      </c>
      <c r="B147" s="121">
        <f t="shared" si="48"/>
        <v>330</v>
      </c>
      <c r="C147" s="122" t="s">
        <v>85</v>
      </c>
      <c r="D147" s="123">
        <v>1</v>
      </c>
      <c r="E147" s="70"/>
      <c r="F147" s="124"/>
      <c r="G147" s="145"/>
      <c r="H147" s="145"/>
      <c r="I147" s="145">
        <v>9</v>
      </c>
      <c r="J147" s="145"/>
      <c r="K147" s="145"/>
      <c r="L147" s="145"/>
      <c r="M147" s="145"/>
      <c r="N147" s="65"/>
      <c r="O147" s="66"/>
      <c r="P147" s="67"/>
      <c r="Q147" s="47">
        <f t="shared" si="44"/>
        <v>9</v>
      </c>
      <c r="R147" s="125">
        <f t="shared" si="45"/>
        <v>9</v>
      </c>
      <c r="S147" s="126">
        <f>+Q147*I6+0.89</f>
        <v>5.66</v>
      </c>
      <c r="T147" s="127">
        <f t="shared" si="46"/>
        <v>5.42</v>
      </c>
    </row>
    <row r="148" spans="1:20" ht="28.5" customHeight="1" x14ac:dyDescent="0.2">
      <c r="A148" s="120">
        <f t="shared" si="47"/>
        <v>331</v>
      </c>
      <c r="B148" s="121">
        <f t="shared" si="48"/>
        <v>350</v>
      </c>
      <c r="C148" s="122" t="s">
        <v>84</v>
      </c>
      <c r="D148" s="123">
        <v>20</v>
      </c>
      <c r="E148" s="70"/>
      <c r="F148" s="124"/>
      <c r="G148" s="145"/>
      <c r="H148" s="145"/>
      <c r="I148" s="145"/>
      <c r="J148" s="145">
        <v>20</v>
      </c>
      <c r="K148" s="145"/>
      <c r="L148" s="145"/>
      <c r="M148" s="145"/>
      <c r="N148" s="65"/>
      <c r="O148" s="66"/>
      <c r="P148" s="67"/>
      <c r="Q148" s="47">
        <f t="shared" si="44"/>
        <v>20</v>
      </c>
      <c r="R148" s="125">
        <f t="shared" si="45"/>
        <v>400</v>
      </c>
      <c r="S148" s="126">
        <f>+Q148*J5+0.89</f>
        <v>12.090000000000002</v>
      </c>
      <c r="T148" s="127">
        <f t="shared" si="46"/>
        <v>11.850000000000001</v>
      </c>
    </row>
    <row r="149" spans="1:20" ht="28.5" customHeight="1" x14ac:dyDescent="0.2">
      <c r="A149" s="120">
        <f t="shared" si="47"/>
        <v>351</v>
      </c>
      <c r="B149" s="121">
        <f t="shared" si="48"/>
        <v>351</v>
      </c>
      <c r="C149" s="122" t="s">
        <v>94</v>
      </c>
      <c r="D149" s="123">
        <v>1</v>
      </c>
      <c r="E149" s="70"/>
      <c r="F149" s="124"/>
      <c r="G149" s="145"/>
      <c r="H149" s="145"/>
      <c r="I149" s="145"/>
      <c r="J149" s="145">
        <v>2</v>
      </c>
      <c r="K149" s="145"/>
      <c r="L149" s="145"/>
      <c r="M149" s="145"/>
      <c r="N149" s="65"/>
      <c r="O149" s="66"/>
      <c r="P149" s="67"/>
      <c r="Q149" s="47">
        <f>SUM(G149:P149)</f>
        <v>2</v>
      </c>
      <c r="R149" s="125">
        <f t="shared" ref="R149" si="52">Q149*D149</f>
        <v>2</v>
      </c>
      <c r="S149" s="126">
        <f>+Q149*J5+0.24</f>
        <v>1.36</v>
      </c>
      <c r="T149" s="127">
        <f t="shared" ref="T149" si="53">S149-0.24</f>
        <v>1.1200000000000001</v>
      </c>
    </row>
    <row r="150" spans="1:20" ht="28.5" customHeight="1" x14ac:dyDescent="0.2">
      <c r="A150" s="120">
        <f t="shared" si="47"/>
        <v>352</v>
      </c>
      <c r="B150" s="121">
        <f t="shared" si="48"/>
        <v>364</v>
      </c>
      <c r="C150" s="122" t="s">
        <v>84</v>
      </c>
      <c r="D150" s="123">
        <v>13</v>
      </c>
      <c r="E150" s="70"/>
      <c r="F150" s="124"/>
      <c r="G150" s="145"/>
      <c r="H150" s="145"/>
      <c r="I150" s="145"/>
      <c r="J150" s="145"/>
      <c r="K150" s="145">
        <v>18</v>
      </c>
      <c r="L150" s="145"/>
      <c r="M150" s="145"/>
      <c r="N150" s="65"/>
      <c r="O150" s="66"/>
      <c r="P150" s="67"/>
      <c r="Q150" s="47">
        <f t="shared" si="44"/>
        <v>18</v>
      </c>
      <c r="R150" s="125">
        <f t="shared" si="45"/>
        <v>234</v>
      </c>
      <c r="S150" s="126">
        <f>+Q150*K5+0.89</f>
        <v>11.870000000000001</v>
      </c>
      <c r="T150" s="127">
        <f t="shared" si="46"/>
        <v>11.63</v>
      </c>
    </row>
    <row r="151" spans="1:20" ht="28.5" customHeight="1" x14ac:dyDescent="0.2">
      <c r="A151" s="120">
        <f t="shared" si="47"/>
        <v>365</v>
      </c>
      <c r="B151" s="121">
        <f t="shared" si="48"/>
        <v>365</v>
      </c>
      <c r="C151" s="122" t="s">
        <v>83</v>
      </c>
      <c r="D151" s="123">
        <v>1</v>
      </c>
      <c r="E151" s="70"/>
      <c r="F151" s="124"/>
      <c r="G151" s="145"/>
      <c r="H151" s="145"/>
      <c r="I151" s="145"/>
      <c r="J151" s="145"/>
      <c r="K151" s="145">
        <v>5</v>
      </c>
      <c r="L151" s="145"/>
      <c r="M151" s="145"/>
      <c r="N151" s="65"/>
      <c r="O151" s="66"/>
      <c r="P151" s="67"/>
      <c r="Q151" s="47">
        <f t="shared" si="44"/>
        <v>5</v>
      </c>
      <c r="R151" s="125">
        <f t="shared" si="45"/>
        <v>5</v>
      </c>
      <c r="S151" s="126">
        <f>+Q151*K5+0.24</f>
        <v>3.29</v>
      </c>
      <c r="T151" s="127">
        <f t="shared" si="46"/>
        <v>3.05</v>
      </c>
    </row>
    <row r="152" spans="1:20" ht="28.5" customHeight="1" x14ac:dyDescent="0.2">
      <c r="A152" s="120">
        <f t="shared" si="47"/>
        <v>366</v>
      </c>
      <c r="B152" s="121">
        <f t="shared" si="48"/>
        <v>366</v>
      </c>
      <c r="C152" s="122" t="s">
        <v>84</v>
      </c>
      <c r="D152" s="123">
        <v>1</v>
      </c>
      <c r="E152" s="70"/>
      <c r="F152" s="124"/>
      <c r="G152" s="145"/>
      <c r="H152" s="145"/>
      <c r="I152" s="145"/>
      <c r="J152" s="145"/>
      <c r="K152" s="145"/>
      <c r="L152" s="145">
        <v>18</v>
      </c>
      <c r="M152" s="145"/>
      <c r="N152" s="65"/>
      <c r="O152" s="66"/>
      <c r="P152" s="67"/>
      <c r="Q152" s="47">
        <f t="shared" si="44"/>
        <v>18</v>
      </c>
      <c r="R152" s="125">
        <f t="shared" si="45"/>
        <v>18</v>
      </c>
      <c r="S152" s="126">
        <f>+Q152*L5+0.89</f>
        <v>12.590000000000002</v>
      </c>
      <c r="T152" s="127">
        <f t="shared" si="46"/>
        <v>12.350000000000001</v>
      </c>
    </row>
    <row r="153" spans="1:20" ht="28.5" customHeight="1" x14ac:dyDescent="0.2">
      <c r="A153" s="120">
        <f t="shared" si="47"/>
        <v>367</v>
      </c>
      <c r="B153" s="121">
        <f t="shared" si="48"/>
        <v>367</v>
      </c>
      <c r="C153" s="122" t="s">
        <v>85</v>
      </c>
      <c r="D153" s="123">
        <v>1</v>
      </c>
      <c r="E153" s="70"/>
      <c r="F153" s="124"/>
      <c r="G153" s="145"/>
      <c r="H153" s="145"/>
      <c r="I153" s="145"/>
      <c r="J153" s="145"/>
      <c r="K153" s="145"/>
      <c r="L153" s="145">
        <v>13</v>
      </c>
      <c r="M153" s="145"/>
      <c r="N153" s="65"/>
      <c r="O153" s="66"/>
      <c r="P153" s="67"/>
      <c r="Q153" s="47">
        <f t="shared" si="44"/>
        <v>13</v>
      </c>
      <c r="R153" s="125">
        <f t="shared" si="45"/>
        <v>13</v>
      </c>
      <c r="S153" s="126">
        <f>+Q153*L5+0.71</f>
        <v>9.16</v>
      </c>
      <c r="T153" s="127">
        <f t="shared" si="46"/>
        <v>8.92</v>
      </c>
    </row>
    <row r="154" spans="1:20" ht="28.5" customHeight="1" x14ac:dyDescent="0.2">
      <c r="A154" s="120">
        <f t="shared" si="47"/>
        <v>368</v>
      </c>
      <c r="B154" s="121">
        <f t="shared" si="48"/>
        <v>368</v>
      </c>
      <c r="C154" s="122" t="s">
        <v>84</v>
      </c>
      <c r="D154" s="123">
        <v>1</v>
      </c>
      <c r="E154" s="70"/>
      <c r="F154" s="124"/>
      <c r="G154" s="145"/>
      <c r="H154" s="145"/>
      <c r="I154" s="145"/>
      <c r="J154" s="145"/>
      <c r="K154" s="145"/>
      <c r="L154" s="145"/>
      <c r="M154" s="145">
        <v>15</v>
      </c>
      <c r="N154" s="65"/>
      <c r="O154" s="66"/>
      <c r="P154" s="67"/>
      <c r="Q154" s="47">
        <f t="shared" si="44"/>
        <v>15</v>
      </c>
      <c r="R154" s="125">
        <f t="shared" si="45"/>
        <v>15</v>
      </c>
      <c r="S154" s="126">
        <f>+Q154*M5+0.89</f>
        <v>11.24</v>
      </c>
      <c r="T154" s="127">
        <f t="shared" si="46"/>
        <v>11</v>
      </c>
    </row>
    <row r="155" spans="1:20" ht="16.7" customHeight="1" thickBot="1" x14ac:dyDescent="0.3">
      <c r="A155" s="200" t="s">
        <v>23</v>
      </c>
      <c r="B155" s="201"/>
      <c r="C155" s="201"/>
      <c r="D155" s="153">
        <f>SUM(D142:D154)</f>
        <v>80</v>
      </c>
      <c r="E155" s="51" t="s">
        <v>13</v>
      </c>
      <c r="F155" s="128"/>
      <c r="G155" s="146">
        <f>+R142+R143</f>
        <v>58</v>
      </c>
      <c r="H155" s="146">
        <f>+R144+R145</f>
        <v>311</v>
      </c>
      <c r="I155" s="146">
        <f>+R146+R147</f>
        <v>449</v>
      </c>
      <c r="J155" s="146">
        <f>+R148+R149</f>
        <v>402</v>
      </c>
      <c r="K155" s="146">
        <f>+R150+R151</f>
        <v>239</v>
      </c>
      <c r="L155" s="146">
        <f>+R152+R153</f>
        <v>31</v>
      </c>
      <c r="M155" s="146">
        <f>+R154</f>
        <v>15</v>
      </c>
      <c r="N155" s="202"/>
      <c r="O155" s="203"/>
      <c r="P155" s="204"/>
      <c r="Q155" s="151"/>
      <c r="R155" s="80">
        <f>SUM(R142:R154)</f>
        <v>1505</v>
      </c>
      <c r="S155" s="53" t="s">
        <v>4</v>
      </c>
      <c r="T155" s="68"/>
    </row>
    <row r="156" spans="1:20" ht="16.7" customHeight="1" thickBot="1" x14ac:dyDescent="0.3">
      <c r="A156" s="86"/>
      <c r="B156" s="86"/>
      <c r="C156" s="86"/>
      <c r="D156" s="87"/>
      <c r="E156" s="86"/>
      <c r="F156" s="129"/>
      <c r="G156" s="88"/>
      <c r="H156" s="88"/>
      <c r="I156" s="88"/>
      <c r="J156" s="88"/>
      <c r="K156" s="88"/>
      <c r="L156" s="88"/>
      <c r="M156" s="88"/>
      <c r="N156" s="86"/>
      <c r="O156" s="86"/>
      <c r="P156" s="86"/>
      <c r="Q156" s="86"/>
      <c r="R156" s="87"/>
      <c r="S156" s="89"/>
      <c r="T156" s="89"/>
    </row>
    <row r="157" spans="1:20" ht="20.25" customHeight="1" thickBot="1" x14ac:dyDescent="0.3">
      <c r="A157" s="4"/>
      <c r="B157" s="4"/>
      <c r="C157" s="130"/>
      <c r="D157" s="4"/>
      <c r="E157" s="210" t="str">
        <f>+E86</f>
        <v>NAVY CAPTAIN</v>
      </c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2"/>
      <c r="S157" s="4"/>
      <c r="T157" s="4"/>
    </row>
    <row r="158" spans="1:20" ht="20.25" customHeight="1" thickBot="1" x14ac:dyDescent="0.25">
      <c r="A158" s="4"/>
      <c r="B158" s="4"/>
      <c r="C158" s="131"/>
      <c r="D158" s="4"/>
      <c r="E158" s="213" t="s">
        <v>17</v>
      </c>
      <c r="F158" s="214"/>
      <c r="G158" s="85" t="str">
        <f t="shared" ref="G158:M158" si="54">G4</f>
        <v>XS</v>
      </c>
      <c r="H158" s="85" t="str">
        <f t="shared" si="54"/>
        <v>S</v>
      </c>
      <c r="I158" s="85" t="str">
        <f t="shared" si="54"/>
        <v>M</v>
      </c>
      <c r="J158" s="85" t="str">
        <f t="shared" si="54"/>
        <v>L</v>
      </c>
      <c r="K158" s="85" t="str">
        <f t="shared" si="54"/>
        <v>XL</v>
      </c>
      <c r="L158" s="85" t="str">
        <f t="shared" si="54"/>
        <v>XXL</v>
      </c>
      <c r="M158" s="85" t="str">
        <f t="shared" si="54"/>
        <v>XXL+</v>
      </c>
      <c r="N158" s="207"/>
      <c r="O158" s="208"/>
      <c r="P158" s="209"/>
      <c r="Q158" s="85"/>
      <c r="R158" s="85" t="s">
        <v>23</v>
      </c>
      <c r="S158" s="4"/>
      <c r="T158" s="4"/>
    </row>
    <row r="159" spans="1:20" ht="20.25" customHeight="1" x14ac:dyDescent="0.2">
      <c r="A159" s="4"/>
      <c r="B159" s="4"/>
      <c r="C159" s="4"/>
      <c r="D159" s="4"/>
      <c r="E159" s="213" t="s">
        <v>24</v>
      </c>
      <c r="F159" s="214"/>
      <c r="G159" s="107">
        <v>132</v>
      </c>
      <c r="H159" s="134">
        <v>312</v>
      </c>
      <c r="I159" s="134">
        <v>539</v>
      </c>
      <c r="J159" s="107">
        <v>513</v>
      </c>
      <c r="K159" s="107">
        <v>297</v>
      </c>
      <c r="L159" s="107">
        <v>117</v>
      </c>
      <c r="M159" s="107">
        <v>101</v>
      </c>
      <c r="N159" s="158"/>
      <c r="O159" s="159"/>
      <c r="P159" s="160"/>
      <c r="Q159" s="48"/>
      <c r="R159" s="94">
        <f>SUM(G159:Q159)</f>
        <v>2011</v>
      </c>
      <c r="S159" s="4"/>
      <c r="T159" s="4"/>
    </row>
    <row r="160" spans="1:20" ht="20.25" customHeight="1" x14ac:dyDescent="0.2">
      <c r="A160" s="4"/>
      <c r="B160" s="4"/>
      <c r="C160" s="4"/>
      <c r="D160" s="4"/>
      <c r="E160" s="213" t="s">
        <v>25</v>
      </c>
      <c r="F160" s="214"/>
      <c r="G160" s="124">
        <f t="shared" ref="G160:M160" si="55">+G125+G93+G43</f>
        <v>135</v>
      </c>
      <c r="H160" s="124">
        <f t="shared" si="55"/>
        <v>321</v>
      </c>
      <c r="I160" s="124">
        <f t="shared" si="55"/>
        <v>555</v>
      </c>
      <c r="J160" s="124">
        <f t="shared" si="55"/>
        <v>528</v>
      </c>
      <c r="K160" s="124">
        <f t="shared" si="55"/>
        <v>305</v>
      </c>
      <c r="L160" s="124">
        <f t="shared" si="55"/>
        <v>120</v>
      </c>
      <c r="M160" s="124">
        <f t="shared" si="55"/>
        <v>104</v>
      </c>
      <c r="N160" s="158"/>
      <c r="O160" s="159"/>
      <c r="P160" s="160"/>
      <c r="Q160" s="98"/>
      <c r="R160" s="95">
        <f>SUM(G160:Q160)</f>
        <v>2068</v>
      </c>
      <c r="S160" s="4"/>
      <c r="T160" s="4"/>
    </row>
    <row r="161" spans="1:20" ht="20.25" customHeight="1" x14ac:dyDescent="0.2">
      <c r="A161" s="4"/>
      <c r="B161" s="4"/>
      <c r="C161" s="4"/>
      <c r="D161" s="4"/>
      <c r="E161" s="213" t="s">
        <v>26</v>
      </c>
      <c r="F161" s="214"/>
      <c r="G161" s="107">
        <f t="shared" ref="G161:M161" si="56">G160-G159</f>
        <v>3</v>
      </c>
      <c r="H161" s="134">
        <f t="shared" ref="H161:I161" si="57">H160-H159</f>
        <v>9</v>
      </c>
      <c r="I161" s="134">
        <f t="shared" si="57"/>
        <v>16</v>
      </c>
      <c r="J161" s="107">
        <f t="shared" si="56"/>
        <v>15</v>
      </c>
      <c r="K161" s="107">
        <f t="shared" si="56"/>
        <v>8</v>
      </c>
      <c r="L161" s="107">
        <f t="shared" si="56"/>
        <v>3</v>
      </c>
      <c r="M161" s="107">
        <f t="shared" si="56"/>
        <v>3</v>
      </c>
      <c r="N161" s="158"/>
      <c r="O161" s="159"/>
      <c r="P161" s="160"/>
      <c r="Q161" s="98"/>
      <c r="R161" s="95">
        <f>SUM(G161:Q161)</f>
        <v>57</v>
      </c>
      <c r="S161" s="4"/>
      <c r="T161" s="4"/>
    </row>
    <row r="162" spans="1:20" ht="20.25" customHeight="1" thickBot="1" x14ac:dyDescent="0.25">
      <c r="A162" s="4"/>
      <c r="B162" s="4"/>
      <c r="C162" s="4"/>
      <c r="D162" s="4"/>
      <c r="E162" s="205" t="s">
        <v>27</v>
      </c>
      <c r="F162" s="206"/>
      <c r="G162" s="132">
        <f t="shared" ref="G162:M162" si="58">G161/G159*100</f>
        <v>2.2727272727272729</v>
      </c>
      <c r="H162" s="132">
        <f t="shared" ref="H162:I162" si="59">H161/H159*100</f>
        <v>2.8846153846153846</v>
      </c>
      <c r="I162" s="132">
        <f t="shared" si="59"/>
        <v>2.9684601113172544</v>
      </c>
      <c r="J162" s="132">
        <f t="shared" si="58"/>
        <v>2.9239766081871341</v>
      </c>
      <c r="K162" s="132">
        <f t="shared" si="58"/>
        <v>2.6936026936026933</v>
      </c>
      <c r="L162" s="132">
        <f t="shared" si="58"/>
        <v>2.5641025641025639</v>
      </c>
      <c r="M162" s="132">
        <f t="shared" si="58"/>
        <v>2.9702970297029703</v>
      </c>
      <c r="N162" s="207"/>
      <c r="O162" s="208"/>
      <c r="P162" s="209"/>
      <c r="Q162" s="133"/>
      <c r="R162" s="96">
        <f>R161/R159*100</f>
        <v>2.8344107409249131</v>
      </c>
      <c r="S162" s="4"/>
      <c r="T162" s="4"/>
    </row>
    <row r="163" spans="1:20" ht="13.5" thickBot="1" x14ac:dyDescent="0.25"/>
    <row r="164" spans="1:20" ht="20.25" customHeight="1" thickBot="1" x14ac:dyDescent="0.3">
      <c r="A164" s="4"/>
      <c r="B164" s="4"/>
      <c r="C164" s="130"/>
      <c r="D164" s="4"/>
      <c r="E164" s="210" t="str">
        <f>+E142</f>
        <v>TEAKWOOD</v>
      </c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2"/>
      <c r="S164" s="4"/>
      <c r="T164" s="4"/>
    </row>
    <row r="165" spans="1:20" ht="20.25" customHeight="1" thickBot="1" x14ac:dyDescent="0.25">
      <c r="A165" s="4"/>
      <c r="B165" s="4"/>
      <c r="C165" s="131"/>
      <c r="D165" s="4"/>
      <c r="E165" s="213" t="s">
        <v>17</v>
      </c>
      <c r="F165" s="214"/>
      <c r="G165" s="85" t="str">
        <f t="shared" ref="G165:M165" si="60">+G4</f>
        <v>XS</v>
      </c>
      <c r="H165" s="85" t="str">
        <f t="shared" si="60"/>
        <v>S</v>
      </c>
      <c r="I165" s="85" t="str">
        <f t="shared" si="60"/>
        <v>M</v>
      </c>
      <c r="J165" s="85" t="str">
        <f t="shared" si="60"/>
        <v>L</v>
      </c>
      <c r="K165" s="85" t="str">
        <f t="shared" si="60"/>
        <v>XL</v>
      </c>
      <c r="L165" s="85" t="str">
        <f t="shared" si="60"/>
        <v>XXL</v>
      </c>
      <c r="M165" s="85" t="str">
        <f t="shared" si="60"/>
        <v>XXL+</v>
      </c>
      <c r="N165" s="207"/>
      <c r="O165" s="208"/>
      <c r="P165" s="209"/>
      <c r="Q165" s="85"/>
      <c r="R165" s="85" t="s">
        <v>23</v>
      </c>
      <c r="S165" s="4"/>
      <c r="T165" s="4"/>
    </row>
    <row r="166" spans="1:20" ht="20.25" customHeight="1" x14ac:dyDescent="0.2">
      <c r="A166" s="4"/>
      <c r="B166" s="4"/>
      <c r="C166" s="4"/>
      <c r="D166" s="4"/>
      <c r="E166" s="213" t="s">
        <v>24</v>
      </c>
      <c r="F166" s="214"/>
      <c r="G166" s="134">
        <v>178</v>
      </c>
      <c r="H166" s="134">
        <v>412</v>
      </c>
      <c r="I166" s="134">
        <v>707</v>
      </c>
      <c r="J166" s="134">
        <v>673</v>
      </c>
      <c r="K166" s="134">
        <v>399</v>
      </c>
      <c r="L166" s="134">
        <v>117</v>
      </c>
      <c r="M166" s="134">
        <v>101</v>
      </c>
      <c r="N166" s="158"/>
      <c r="O166" s="159"/>
      <c r="P166" s="160"/>
      <c r="Q166" s="48"/>
      <c r="R166" s="94">
        <f>SUM(G166:Q166)</f>
        <v>2587</v>
      </c>
      <c r="S166" s="4"/>
      <c r="T166" s="4"/>
    </row>
    <row r="167" spans="1:20" ht="20.25" customHeight="1" x14ac:dyDescent="0.2">
      <c r="A167" s="4"/>
      <c r="B167" s="4"/>
      <c r="C167" s="4"/>
      <c r="D167" s="4"/>
      <c r="E167" s="213" t="s">
        <v>25</v>
      </c>
      <c r="F167" s="214"/>
      <c r="G167" s="124">
        <f t="shared" ref="G167:M167" si="61">+G155+G70+G25</f>
        <v>183</v>
      </c>
      <c r="H167" s="124">
        <f t="shared" si="61"/>
        <v>424</v>
      </c>
      <c r="I167" s="124">
        <f t="shared" si="61"/>
        <v>728</v>
      </c>
      <c r="J167" s="124">
        <f t="shared" si="61"/>
        <v>693</v>
      </c>
      <c r="K167" s="124">
        <f t="shared" si="61"/>
        <v>410</v>
      </c>
      <c r="L167" s="124">
        <f t="shared" si="61"/>
        <v>120</v>
      </c>
      <c r="M167" s="124">
        <f t="shared" si="61"/>
        <v>104</v>
      </c>
      <c r="N167" s="158"/>
      <c r="O167" s="159"/>
      <c r="P167" s="160"/>
      <c r="Q167" s="98"/>
      <c r="R167" s="95">
        <f>SUM(G167:Q167)</f>
        <v>2662</v>
      </c>
      <c r="S167" s="4"/>
      <c r="T167" s="4"/>
    </row>
    <row r="168" spans="1:20" ht="20.25" customHeight="1" x14ac:dyDescent="0.2">
      <c r="A168" s="4"/>
      <c r="B168" s="4"/>
      <c r="C168" s="4"/>
      <c r="D168" s="4"/>
      <c r="E168" s="213" t="s">
        <v>26</v>
      </c>
      <c r="F168" s="214"/>
      <c r="G168" s="134">
        <f t="shared" ref="G168:M168" si="62">G167-G166</f>
        <v>5</v>
      </c>
      <c r="H168" s="134">
        <f t="shared" si="62"/>
        <v>12</v>
      </c>
      <c r="I168" s="134">
        <f t="shared" si="62"/>
        <v>21</v>
      </c>
      <c r="J168" s="134">
        <f t="shared" si="62"/>
        <v>20</v>
      </c>
      <c r="K168" s="134">
        <f t="shared" si="62"/>
        <v>11</v>
      </c>
      <c r="L168" s="134">
        <f t="shared" si="62"/>
        <v>3</v>
      </c>
      <c r="M168" s="134">
        <f t="shared" si="62"/>
        <v>3</v>
      </c>
      <c r="N168" s="158"/>
      <c r="O168" s="159"/>
      <c r="P168" s="160"/>
      <c r="Q168" s="98"/>
      <c r="R168" s="95">
        <f>SUM(G168:Q168)</f>
        <v>75</v>
      </c>
      <c r="S168" s="4"/>
      <c r="T168" s="4"/>
    </row>
    <row r="169" spans="1:20" ht="20.25" customHeight="1" thickBot="1" x14ac:dyDescent="0.25">
      <c r="A169" s="4"/>
      <c r="B169" s="4"/>
      <c r="C169" s="4"/>
      <c r="D169" s="4"/>
      <c r="E169" s="205" t="s">
        <v>27</v>
      </c>
      <c r="F169" s="206"/>
      <c r="G169" s="132">
        <f t="shared" ref="G169:M169" si="63">G168/G166*100</f>
        <v>2.8089887640449436</v>
      </c>
      <c r="H169" s="132">
        <f t="shared" si="63"/>
        <v>2.912621359223301</v>
      </c>
      <c r="I169" s="132">
        <f t="shared" si="63"/>
        <v>2.9702970297029703</v>
      </c>
      <c r="J169" s="132">
        <f t="shared" si="63"/>
        <v>2.9717682020802374</v>
      </c>
      <c r="K169" s="132">
        <f t="shared" si="63"/>
        <v>2.7568922305764412</v>
      </c>
      <c r="L169" s="132">
        <f t="shared" si="63"/>
        <v>2.5641025641025639</v>
      </c>
      <c r="M169" s="132">
        <f t="shared" si="63"/>
        <v>2.9702970297029703</v>
      </c>
      <c r="N169" s="207"/>
      <c r="O169" s="208"/>
      <c r="P169" s="209"/>
      <c r="Q169" s="133"/>
      <c r="R169" s="96">
        <f>R168/R166*100</f>
        <v>2.8991109393119445</v>
      </c>
      <c r="S169" s="4"/>
      <c r="T169" s="4"/>
    </row>
    <row r="170" spans="1:20" ht="13.5" thickBot="1" x14ac:dyDescent="0.25"/>
    <row r="171" spans="1:20" ht="20.25" customHeight="1" thickBot="1" x14ac:dyDescent="0.3">
      <c r="A171" s="4"/>
      <c r="B171" s="4"/>
      <c r="C171" s="130"/>
      <c r="D171" s="4"/>
      <c r="E171" s="210" t="s">
        <v>106</v>
      </c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2"/>
      <c r="S171" s="4"/>
      <c r="T171" s="4"/>
    </row>
    <row r="172" spans="1:20" ht="20.25" customHeight="1" thickBot="1" x14ac:dyDescent="0.25">
      <c r="A172" s="4"/>
      <c r="B172" s="4"/>
      <c r="C172" s="131"/>
      <c r="D172" s="4"/>
      <c r="E172" s="213" t="s">
        <v>17</v>
      </c>
      <c r="F172" s="214"/>
      <c r="G172" s="85" t="str">
        <f t="shared" ref="G172:M172" si="64">+G4</f>
        <v>XS</v>
      </c>
      <c r="H172" s="85" t="str">
        <f t="shared" si="64"/>
        <v>S</v>
      </c>
      <c r="I172" s="85" t="str">
        <f t="shared" si="64"/>
        <v>M</v>
      </c>
      <c r="J172" s="85" t="str">
        <f t="shared" si="64"/>
        <v>L</v>
      </c>
      <c r="K172" s="85" t="str">
        <f t="shared" si="64"/>
        <v>XL</v>
      </c>
      <c r="L172" s="85" t="str">
        <f t="shared" si="64"/>
        <v>XXL</v>
      </c>
      <c r="M172" s="85" t="str">
        <f t="shared" si="64"/>
        <v>XXL+</v>
      </c>
      <c r="N172" s="207"/>
      <c r="O172" s="208"/>
      <c r="P172" s="209"/>
      <c r="Q172" s="85"/>
      <c r="R172" s="85" t="s">
        <v>23</v>
      </c>
      <c r="S172" s="4"/>
      <c r="T172" s="4"/>
    </row>
    <row r="173" spans="1:20" ht="20.25" customHeight="1" x14ac:dyDescent="0.2">
      <c r="A173" s="4"/>
      <c r="B173" s="4"/>
      <c r="C173" s="4"/>
      <c r="D173" s="4"/>
      <c r="E173" s="213" t="s">
        <v>24</v>
      </c>
      <c r="F173" s="214"/>
      <c r="G173" s="134">
        <f>+G166+G159</f>
        <v>310</v>
      </c>
      <c r="H173" s="134">
        <f t="shared" ref="H173:M173" si="65">+H166+H159</f>
        <v>724</v>
      </c>
      <c r="I173" s="134">
        <f t="shared" si="65"/>
        <v>1246</v>
      </c>
      <c r="J173" s="134">
        <f t="shared" si="65"/>
        <v>1186</v>
      </c>
      <c r="K173" s="134">
        <f t="shared" si="65"/>
        <v>696</v>
      </c>
      <c r="L173" s="134">
        <f t="shared" si="65"/>
        <v>234</v>
      </c>
      <c r="M173" s="134">
        <f t="shared" si="65"/>
        <v>202</v>
      </c>
      <c r="N173" s="158"/>
      <c r="O173" s="159"/>
      <c r="P173" s="160"/>
      <c r="Q173" s="48"/>
      <c r="R173" s="94">
        <f>SUM(G173:Q173)</f>
        <v>4598</v>
      </c>
      <c r="S173" s="4"/>
      <c r="T173" s="4"/>
    </row>
    <row r="174" spans="1:20" ht="20.25" customHeight="1" x14ac:dyDescent="0.2">
      <c r="A174" s="4"/>
      <c r="B174" s="4"/>
      <c r="C174" s="4"/>
      <c r="D174" s="4"/>
      <c r="E174" s="213" t="s">
        <v>25</v>
      </c>
      <c r="F174" s="214"/>
      <c r="G174" s="124">
        <f>+G167+G160</f>
        <v>318</v>
      </c>
      <c r="H174" s="124">
        <f t="shared" ref="H174:M174" si="66">+H167+H160</f>
        <v>745</v>
      </c>
      <c r="I174" s="124">
        <f t="shared" si="66"/>
        <v>1283</v>
      </c>
      <c r="J174" s="124">
        <f t="shared" si="66"/>
        <v>1221</v>
      </c>
      <c r="K174" s="124">
        <f t="shared" si="66"/>
        <v>715</v>
      </c>
      <c r="L174" s="124">
        <f t="shared" si="66"/>
        <v>240</v>
      </c>
      <c r="M174" s="124">
        <f t="shared" si="66"/>
        <v>208</v>
      </c>
      <c r="N174" s="158"/>
      <c r="O174" s="159"/>
      <c r="P174" s="160"/>
      <c r="Q174" s="98"/>
      <c r="R174" s="95">
        <f>SUM(G174:Q174)</f>
        <v>4730</v>
      </c>
      <c r="S174" s="4"/>
      <c r="T174" s="4"/>
    </row>
    <row r="175" spans="1:20" ht="20.25" customHeight="1" x14ac:dyDescent="0.2">
      <c r="A175" s="4"/>
      <c r="B175" s="4"/>
      <c r="C175" s="4"/>
      <c r="D175" s="4"/>
      <c r="E175" s="213" t="s">
        <v>26</v>
      </c>
      <c r="F175" s="214"/>
      <c r="G175" s="134">
        <f t="shared" ref="G175:M175" si="67">G174-G173</f>
        <v>8</v>
      </c>
      <c r="H175" s="134">
        <f t="shared" si="67"/>
        <v>21</v>
      </c>
      <c r="I175" s="134">
        <f t="shared" si="67"/>
        <v>37</v>
      </c>
      <c r="J175" s="134">
        <f t="shared" si="67"/>
        <v>35</v>
      </c>
      <c r="K175" s="134">
        <f t="shared" si="67"/>
        <v>19</v>
      </c>
      <c r="L175" s="134">
        <f t="shared" si="67"/>
        <v>6</v>
      </c>
      <c r="M175" s="134">
        <f t="shared" si="67"/>
        <v>6</v>
      </c>
      <c r="N175" s="158"/>
      <c r="O175" s="159"/>
      <c r="P175" s="160"/>
      <c r="Q175" s="98"/>
      <c r="R175" s="95">
        <f>SUM(G175:Q175)</f>
        <v>132</v>
      </c>
      <c r="S175" s="4"/>
      <c r="T175" s="4"/>
    </row>
    <row r="176" spans="1:20" ht="20.25" customHeight="1" thickBot="1" x14ac:dyDescent="0.25">
      <c r="A176" s="4"/>
      <c r="B176" s="4"/>
      <c r="C176" s="4"/>
      <c r="D176" s="4"/>
      <c r="E176" s="205" t="s">
        <v>27</v>
      </c>
      <c r="F176" s="206"/>
      <c r="G176" s="132">
        <f t="shared" ref="G176:M176" si="68">G175/G173*100</f>
        <v>2.5806451612903225</v>
      </c>
      <c r="H176" s="132">
        <f t="shared" si="68"/>
        <v>2.9005524861878453</v>
      </c>
      <c r="I176" s="132">
        <f t="shared" si="68"/>
        <v>2.9695024077046552</v>
      </c>
      <c r="J176" s="132">
        <f t="shared" si="68"/>
        <v>2.9510961214165259</v>
      </c>
      <c r="K176" s="132">
        <f t="shared" si="68"/>
        <v>2.7298850574712645</v>
      </c>
      <c r="L176" s="132">
        <f t="shared" si="68"/>
        <v>2.5641025641025639</v>
      </c>
      <c r="M176" s="132">
        <f t="shared" si="68"/>
        <v>2.9702970297029703</v>
      </c>
      <c r="N176" s="207"/>
      <c r="O176" s="208"/>
      <c r="P176" s="209"/>
      <c r="Q176" s="133"/>
      <c r="R176" s="96">
        <f>R175/R173*100</f>
        <v>2.8708133971291865</v>
      </c>
      <c r="S176" s="4"/>
      <c r="T176" s="4"/>
    </row>
  </sheetData>
  <mergeCells count="140">
    <mergeCell ref="T140:T141"/>
    <mergeCell ref="N141:P141"/>
    <mergeCell ref="A155:C155"/>
    <mergeCell ref="N155:P155"/>
    <mergeCell ref="R135:S135"/>
    <mergeCell ref="D140:D141"/>
    <mergeCell ref="E140:E141"/>
    <mergeCell ref="F140:F141"/>
    <mergeCell ref="G140:P140"/>
    <mergeCell ref="Q140:Q141"/>
    <mergeCell ref="R140:R141"/>
    <mergeCell ref="S140:S141"/>
    <mergeCell ref="A127:T127"/>
    <mergeCell ref="D131:E131"/>
    <mergeCell ref="R132:S132"/>
    <mergeCell ref="R133:S133"/>
    <mergeCell ref="R134:S134"/>
    <mergeCell ref="E174:F174"/>
    <mergeCell ref="N174:P174"/>
    <mergeCell ref="E175:F175"/>
    <mergeCell ref="N175:P175"/>
    <mergeCell ref="E164:R164"/>
    <mergeCell ref="E165:F165"/>
    <mergeCell ref="N165:P165"/>
    <mergeCell ref="E166:F166"/>
    <mergeCell ref="N166:P166"/>
    <mergeCell ref="E162:F162"/>
    <mergeCell ref="N162:P162"/>
    <mergeCell ref="E161:F161"/>
    <mergeCell ref="N161:P161"/>
    <mergeCell ref="E157:R157"/>
    <mergeCell ref="E158:F158"/>
    <mergeCell ref="N158:P158"/>
    <mergeCell ref="E159:F159"/>
    <mergeCell ref="E160:F160"/>
    <mergeCell ref="N160:P160"/>
    <mergeCell ref="E176:F176"/>
    <mergeCell ref="N176:P176"/>
    <mergeCell ref="E171:R171"/>
    <mergeCell ref="E172:F172"/>
    <mergeCell ref="N172:P172"/>
    <mergeCell ref="E173:F173"/>
    <mergeCell ref="N173:P173"/>
    <mergeCell ref="E167:F167"/>
    <mergeCell ref="N167:P167"/>
    <mergeCell ref="E168:F168"/>
    <mergeCell ref="N168:P168"/>
    <mergeCell ref="E169:F169"/>
    <mergeCell ref="N169:P169"/>
    <mergeCell ref="R84:R85"/>
    <mergeCell ref="S84:S85"/>
    <mergeCell ref="T84:T85"/>
    <mergeCell ref="N85:P85"/>
    <mergeCell ref="A93:C93"/>
    <mergeCell ref="N93:P93"/>
    <mergeCell ref="D84:D85"/>
    <mergeCell ref="E84:E85"/>
    <mergeCell ref="F84:F85"/>
    <mergeCell ref="G84:P84"/>
    <mergeCell ref="Q84:Q85"/>
    <mergeCell ref="R107:R108"/>
    <mergeCell ref="S107:S108"/>
    <mergeCell ref="T107:T108"/>
    <mergeCell ref="N108:P108"/>
    <mergeCell ref="A125:C125"/>
    <mergeCell ref="N125:P125"/>
    <mergeCell ref="D107:D108"/>
    <mergeCell ref="E107:E108"/>
    <mergeCell ref="F107:F108"/>
    <mergeCell ref="G107:P107"/>
    <mergeCell ref="Q107:Q108"/>
    <mergeCell ref="D98:E98"/>
    <mergeCell ref="R99:S99"/>
    <mergeCell ref="R100:S100"/>
    <mergeCell ref="R101:S101"/>
    <mergeCell ref="R102:S102"/>
    <mergeCell ref="A94:T94"/>
    <mergeCell ref="S22:S23"/>
    <mergeCell ref="T22:T23"/>
    <mergeCell ref="N22:P23"/>
    <mergeCell ref="A70:C70"/>
    <mergeCell ref="N70:P70"/>
    <mergeCell ref="D40:D41"/>
    <mergeCell ref="E40:E41"/>
    <mergeCell ref="D75:E75"/>
    <mergeCell ref="R76:S76"/>
    <mergeCell ref="R77:S77"/>
    <mergeCell ref="R78:S78"/>
    <mergeCell ref="R79:S79"/>
    <mergeCell ref="S40:S41"/>
    <mergeCell ref="T40:T41"/>
    <mergeCell ref="A43:C43"/>
    <mergeCell ref="N43:P43"/>
    <mergeCell ref="A72:T72"/>
    <mergeCell ref="F40:F41"/>
    <mergeCell ref="R52:S52"/>
    <mergeCell ref="D57:D58"/>
    <mergeCell ref="A45:T45"/>
    <mergeCell ref="S57:S58"/>
    <mergeCell ref="T57:T58"/>
    <mergeCell ref="N58:P58"/>
    <mergeCell ref="E57:E58"/>
    <mergeCell ref="R22:R23"/>
    <mergeCell ref="A25:C25"/>
    <mergeCell ref="Q22:Q23"/>
    <mergeCell ref="A27:T27"/>
    <mergeCell ref="D29:E29"/>
    <mergeCell ref="D30:E30"/>
    <mergeCell ref="R31:S31"/>
    <mergeCell ref="R32:S32"/>
    <mergeCell ref="R33:S33"/>
    <mergeCell ref="R34:S34"/>
    <mergeCell ref="G40:M40"/>
    <mergeCell ref="N40:P41"/>
    <mergeCell ref="Q40:Q41"/>
    <mergeCell ref="R40:R41"/>
    <mergeCell ref="N159:P159"/>
    <mergeCell ref="A1:T1"/>
    <mergeCell ref="A2:T2"/>
    <mergeCell ref="R49:S49"/>
    <mergeCell ref="D48:E48"/>
    <mergeCell ref="D7:E7"/>
    <mergeCell ref="A9:T9"/>
    <mergeCell ref="R14:S14"/>
    <mergeCell ref="R15:S15"/>
    <mergeCell ref="R16:S16"/>
    <mergeCell ref="R13:S13"/>
    <mergeCell ref="D22:D23"/>
    <mergeCell ref="E22:E23"/>
    <mergeCell ref="F22:F23"/>
    <mergeCell ref="D11:E11"/>
    <mergeCell ref="G22:M22"/>
    <mergeCell ref="N25:P25"/>
    <mergeCell ref="D12:E12"/>
    <mergeCell ref="F57:F58"/>
    <mergeCell ref="R50:S50"/>
    <mergeCell ref="R51:S51"/>
    <mergeCell ref="G57:P57"/>
    <mergeCell ref="Q57:Q58"/>
    <mergeCell ref="R57:R58"/>
  </mergeCells>
  <conditionalFormatting sqref="R158">
    <cfRule type="expression" dxfId="20" priority="540">
      <formula>$R158="CANCEL"</formula>
    </cfRule>
    <cfRule type="expression" dxfId="19" priority="541">
      <formula>#REF!="Closed"</formula>
    </cfRule>
    <cfRule type="expression" dxfId="18" priority="542">
      <formula>#REF!="Delayed"</formula>
    </cfRule>
    <cfRule type="expression" dxfId="17" priority="543">
      <formula>IF(ISNUMBER(#REF!),#REF!&gt;#REF!,0)</formula>
    </cfRule>
    <cfRule type="expression" dxfId="16" priority="544">
      <formula>#REF!="Cut-off"</formula>
    </cfRule>
    <cfRule type="expression" dxfId="15" priority="545">
      <formula>#REF!="In Week"</formula>
    </cfRule>
    <cfRule type="expression" dxfId="14" priority="546">
      <formula>#REF!="Missed"</formula>
    </cfRule>
  </conditionalFormatting>
  <conditionalFormatting sqref="G159:M159 G166:M166 R165">
    <cfRule type="expression" dxfId="13" priority="715">
      <formula>$R159="CANCEL"</formula>
    </cfRule>
    <cfRule type="expression" dxfId="12" priority="716">
      <formula>$W70="Closed"</formula>
    </cfRule>
    <cfRule type="expression" dxfId="11" priority="717">
      <formula>$W70="Delayed"</formula>
    </cfRule>
    <cfRule type="expression" dxfId="10" priority="718">
      <formula>IF(ISNUMBER(#REF!),$X70&gt;$V70,0)</formula>
    </cfRule>
    <cfRule type="expression" dxfId="9" priority="719">
      <formula>$W70="Cut-off"</formula>
    </cfRule>
    <cfRule type="expression" dxfId="8" priority="720">
      <formula>$W70="In Week"</formula>
    </cfRule>
    <cfRule type="expression" dxfId="7" priority="721">
      <formula>$W70="Missed"</formula>
    </cfRule>
  </conditionalFormatting>
  <conditionalFormatting sqref="R172 G173:M173">
    <cfRule type="expression" dxfId="6" priority="736">
      <formula>$R172="CANCEL"</formula>
    </cfRule>
    <cfRule type="expression" dxfId="5" priority="737">
      <formula>$W84="Closed"</formula>
    </cfRule>
    <cfRule type="expression" dxfId="4" priority="738">
      <formula>$W84="Delayed"</formula>
    </cfRule>
    <cfRule type="expression" dxfId="3" priority="739">
      <formula>IF(ISNUMBER(#REF!),$X84&gt;$V84,0)</formula>
    </cfRule>
    <cfRule type="expression" dxfId="2" priority="740">
      <formula>$W84="Cut-off"</formula>
    </cfRule>
    <cfRule type="expression" dxfId="1" priority="741">
      <formula>$W84="In Week"</formula>
    </cfRule>
    <cfRule type="expression" dxfId="0" priority="742">
      <formula>$W84="Missed"</formula>
    </cfRule>
  </conditionalFormatting>
  <printOptions horizontalCentered="1"/>
  <pageMargins left="0.22" right="0.23" top="0.35" bottom="0.34" header="0.3" footer="0.3"/>
  <pageSetup paperSize="9" scale="45" fitToHeight="8" orientation="portrait" r:id="rId1"/>
  <rowBreaks count="1" manualBreakCount="1">
    <brk id="93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3"/>
  <sheetViews>
    <sheetView view="pageBreakPreview" zoomScaleNormal="100" zoomScaleSheetLayoutView="100" workbookViewId="0">
      <selection activeCell="A3" sqref="A3:J3"/>
    </sheetView>
  </sheetViews>
  <sheetFormatPr defaultRowHeight="12.75" x14ac:dyDescent="0.2"/>
  <cols>
    <col min="1" max="1" width="16.28515625" style="2" customWidth="1"/>
    <col min="2" max="2" width="15.140625" style="2" customWidth="1"/>
    <col min="3" max="3" width="11.85546875" style="2" customWidth="1"/>
    <col min="4" max="4" width="32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3" spans="1:10" ht="26.25" x14ac:dyDescent="0.2">
      <c r="A3" s="217" t="s">
        <v>73</v>
      </c>
      <c r="B3" s="217"/>
      <c r="C3" s="217"/>
      <c r="D3" s="217"/>
      <c r="E3" s="217"/>
      <c r="F3" s="217"/>
      <c r="G3" s="217"/>
      <c r="H3" s="217"/>
      <c r="I3" s="217"/>
      <c r="J3" s="217"/>
    </row>
    <row r="4" spans="1:10" x14ac:dyDescent="0.2">
      <c r="A4" s="218" t="s">
        <v>35</v>
      </c>
      <c r="B4" s="218"/>
      <c r="C4" s="218"/>
      <c r="D4" s="218"/>
      <c r="E4" s="218"/>
      <c r="F4" s="218"/>
      <c r="G4" s="218"/>
      <c r="H4" s="218"/>
      <c r="I4" s="218"/>
      <c r="J4" s="218"/>
    </row>
    <row r="5" spans="1:10" ht="15.75" x14ac:dyDescent="0.2">
      <c r="A5" s="219" t="s">
        <v>29</v>
      </c>
      <c r="B5" s="219"/>
      <c r="C5" s="219"/>
      <c r="D5" s="219"/>
      <c r="E5" s="219"/>
      <c r="F5" s="219"/>
      <c r="G5" s="219"/>
      <c r="H5" s="219"/>
      <c r="I5" s="219"/>
      <c r="J5" s="219"/>
    </row>
    <row r="6" spans="1:10" ht="16.5" thickBo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21.75" thickBot="1" x14ac:dyDescent="0.25">
      <c r="A7" s="14" t="s">
        <v>36</v>
      </c>
      <c r="B7" s="15" t="str">
        <f>PKL.!D10</f>
        <v>OLD NAVY</v>
      </c>
      <c r="C7" s="39"/>
      <c r="D7" s="17"/>
      <c r="E7" s="17"/>
      <c r="F7" s="17"/>
      <c r="G7" s="17"/>
      <c r="H7" s="17"/>
      <c r="I7" s="17"/>
      <c r="J7" s="17"/>
    </row>
    <row r="8" spans="1:10" ht="21.75" thickBot="1" x14ac:dyDescent="0.25">
      <c r="A8" s="16" t="s">
        <v>37</v>
      </c>
      <c r="B8" s="15">
        <v>897514</v>
      </c>
      <c r="C8" s="40"/>
      <c r="D8" s="17"/>
      <c r="E8" s="17"/>
      <c r="F8" s="17"/>
      <c r="G8" s="17"/>
      <c r="H8" s="18" t="s">
        <v>38</v>
      </c>
      <c r="I8" s="215" t="s">
        <v>92</v>
      </c>
      <c r="J8" s="216"/>
    </row>
    <row r="9" spans="1:10" ht="16.5" thickBo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 ht="16.5" thickTop="1" thickBot="1" x14ac:dyDescent="0.25">
      <c r="A10" s="54" t="s">
        <v>39</v>
      </c>
      <c r="B10" s="55" t="s">
        <v>40</v>
      </c>
      <c r="C10" s="55" t="s">
        <v>59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30</v>
      </c>
      <c r="I10" s="58" t="s">
        <v>45</v>
      </c>
      <c r="J10" s="59" t="s">
        <v>10</v>
      </c>
    </row>
    <row r="11" spans="1:10" ht="15.75" thickTop="1" x14ac:dyDescent="0.2">
      <c r="A11" s="19" t="s">
        <v>90</v>
      </c>
      <c r="B11" s="20">
        <v>61194555</v>
      </c>
      <c r="C11" s="20" t="s">
        <v>89</v>
      </c>
      <c r="D11" s="10" t="s">
        <v>86</v>
      </c>
      <c r="E11" s="63">
        <v>1776</v>
      </c>
      <c r="F11" s="63">
        <v>1776</v>
      </c>
      <c r="G11" s="21">
        <f>F11-E11</f>
        <v>0</v>
      </c>
      <c r="H11" s="21">
        <v>0</v>
      </c>
      <c r="I11" s="22">
        <f>G11/E11</f>
        <v>0</v>
      </c>
      <c r="J11" s="23">
        <v>32</v>
      </c>
    </row>
    <row r="12" spans="1:10" ht="15" x14ac:dyDescent="0.2">
      <c r="A12" s="19" t="s">
        <v>91</v>
      </c>
      <c r="B12" s="20" t="s">
        <v>87</v>
      </c>
      <c r="C12" s="142" t="s">
        <v>88</v>
      </c>
      <c r="D12" s="142" t="s">
        <v>88</v>
      </c>
      <c r="E12" s="63">
        <v>622</v>
      </c>
      <c r="F12" s="63">
        <v>622</v>
      </c>
      <c r="G12" s="21">
        <f>F12-E12</f>
        <v>0</v>
      </c>
      <c r="H12" s="21">
        <v>0</v>
      </c>
      <c r="I12" s="22">
        <f>G12/E12</f>
        <v>0</v>
      </c>
      <c r="J12" s="23">
        <v>13</v>
      </c>
    </row>
    <row r="13" spans="1:10" ht="15.75" thickBot="1" x14ac:dyDescent="0.25">
      <c r="A13" s="60"/>
      <c r="B13" s="61"/>
      <c r="C13" s="61"/>
      <c r="D13" s="62" t="s">
        <v>23</v>
      </c>
      <c r="E13" s="62">
        <f>SUM(E11:E12)</f>
        <v>2398</v>
      </c>
      <c r="F13" s="62">
        <f t="shared" ref="F13:G13" si="0">SUM(F11:F12)</f>
        <v>2398</v>
      </c>
      <c r="G13" s="62">
        <f t="shared" si="0"/>
        <v>0</v>
      </c>
      <c r="H13" s="62">
        <f>SUM(H11:H11)</f>
        <v>0</v>
      </c>
      <c r="I13" s="64">
        <f>H13/E13</f>
        <v>0</v>
      </c>
      <c r="J13" s="62">
        <f>SUM(J11:J12)</f>
        <v>45</v>
      </c>
    </row>
    <row r="14" spans="1:10" ht="13.5" thickTop="1" x14ac:dyDescent="0.2">
      <c r="A14" s="13"/>
      <c r="B14" s="13"/>
      <c r="C14" s="13"/>
      <c r="D14" s="13"/>
      <c r="E14" s="13"/>
      <c r="F14" s="13"/>
      <c r="G14" s="13"/>
      <c r="H14" s="13"/>
      <c r="I14" s="3"/>
      <c r="J14" s="13"/>
    </row>
    <row r="15" spans="1:10" x14ac:dyDescent="0.2">
      <c r="A15" s="13"/>
      <c r="B15" s="13"/>
      <c r="C15" s="13"/>
      <c r="D15" s="13"/>
      <c r="E15" s="13"/>
      <c r="F15" s="13"/>
      <c r="G15" s="13"/>
      <c r="H15" s="13"/>
      <c r="I15" s="3"/>
      <c r="J15" s="13"/>
    </row>
    <row r="16" spans="1:10" x14ac:dyDescent="0.2">
      <c r="A16" s="13"/>
      <c r="B16" s="13"/>
      <c r="C16" s="13"/>
      <c r="D16" s="13"/>
      <c r="E16" s="13"/>
      <c r="F16" s="13"/>
      <c r="G16" s="13"/>
      <c r="H16" s="13"/>
      <c r="I16" s="3"/>
      <c r="J16" s="13"/>
    </row>
    <row r="17" spans="1:10" x14ac:dyDescent="0.2">
      <c r="A17" s="13"/>
      <c r="B17" s="13"/>
      <c r="C17" s="13"/>
      <c r="D17" s="13"/>
      <c r="E17" s="13"/>
      <c r="F17" s="13"/>
      <c r="G17" s="13"/>
      <c r="H17" s="13"/>
      <c r="I17" s="3"/>
      <c r="J17" s="13"/>
    </row>
    <row r="18" spans="1:10" ht="13.5" thickBot="1" x14ac:dyDescent="0.25">
      <c r="A18" s="13"/>
      <c r="B18" s="13"/>
      <c r="C18" s="13"/>
      <c r="D18" s="13"/>
      <c r="E18" s="13"/>
      <c r="F18" s="13"/>
      <c r="G18" s="13"/>
      <c r="H18" s="13"/>
      <c r="I18" s="3"/>
      <c r="J18" s="13"/>
    </row>
    <row r="19" spans="1:10" ht="14.25" thickTop="1" thickBot="1" x14ac:dyDescent="0.25">
      <c r="A19" s="13"/>
      <c r="B19" s="24" t="s">
        <v>46</v>
      </c>
      <c r="C19" s="41"/>
      <c r="D19" s="25" t="s">
        <v>31</v>
      </c>
      <c r="E19" s="25" t="s">
        <v>32</v>
      </c>
      <c r="F19" s="25" t="s">
        <v>22</v>
      </c>
      <c r="G19" s="221" t="s">
        <v>33</v>
      </c>
      <c r="H19" s="222"/>
      <c r="I19" s="223"/>
      <c r="J19" s="13"/>
    </row>
    <row r="20" spans="1:10" ht="13.5" thickTop="1" x14ac:dyDescent="0.2">
      <c r="A20" s="1"/>
      <c r="B20" s="26">
        <v>1</v>
      </c>
      <c r="C20" s="42"/>
      <c r="D20" s="10" t="s">
        <v>47</v>
      </c>
      <c r="E20" s="27"/>
      <c r="F20" s="27"/>
      <c r="G20" s="224"/>
      <c r="H20" s="225"/>
      <c r="I20" s="226"/>
      <c r="J20" s="13"/>
    </row>
    <row r="21" spans="1:10" x14ac:dyDescent="0.2">
      <c r="A21" s="1"/>
      <c r="B21" s="28">
        <v>2</v>
      </c>
      <c r="C21" s="38"/>
      <c r="D21" s="11" t="s">
        <v>48</v>
      </c>
      <c r="E21" s="12"/>
      <c r="F21" s="12"/>
      <c r="G21" s="227"/>
      <c r="H21" s="228"/>
      <c r="I21" s="229"/>
      <c r="J21" s="13"/>
    </row>
    <row r="22" spans="1:10" x14ac:dyDescent="0.2">
      <c r="A22" s="13"/>
      <c r="B22" s="28">
        <v>3</v>
      </c>
      <c r="C22" s="38"/>
      <c r="D22" s="11" t="s">
        <v>49</v>
      </c>
      <c r="E22" s="12"/>
      <c r="F22" s="12"/>
      <c r="G22" s="227"/>
      <c r="H22" s="228"/>
      <c r="I22" s="229"/>
      <c r="J22" s="13"/>
    </row>
    <row r="23" spans="1:10" x14ac:dyDescent="0.2">
      <c r="A23" s="13"/>
      <c r="B23" s="28">
        <v>4</v>
      </c>
      <c r="C23" s="38"/>
      <c r="D23" s="11" t="s">
        <v>50</v>
      </c>
      <c r="E23" s="12"/>
      <c r="F23" s="12"/>
      <c r="G23" s="227"/>
      <c r="H23" s="228"/>
      <c r="I23" s="229"/>
      <c r="J23" s="13"/>
    </row>
    <row r="24" spans="1:10" x14ac:dyDescent="0.2">
      <c r="A24" s="13"/>
      <c r="B24" s="28">
        <v>5</v>
      </c>
      <c r="C24" s="38"/>
      <c r="D24" s="11" t="s">
        <v>51</v>
      </c>
      <c r="E24" s="12"/>
      <c r="F24" s="12"/>
      <c r="G24" s="227"/>
      <c r="H24" s="228"/>
      <c r="I24" s="229"/>
      <c r="J24" s="13"/>
    </row>
    <row r="25" spans="1:10" x14ac:dyDescent="0.2">
      <c r="A25" s="13"/>
      <c r="B25" s="28">
        <v>6</v>
      </c>
      <c r="C25" s="38"/>
      <c r="D25" s="11" t="s">
        <v>52</v>
      </c>
      <c r="E25" s="12"/>
      <c r="F25" s="12"/>
      <c r="G25" s="35"/>
      <c r="H25" s="36"/>
      <c r="I25" s="37"/>
      <c r="J25" s="13"/>
    </row>
    <row r="26" spans="1:10" x14ac:dyDescent="0.2">
      <c r="A26" s="13"/>
      <c r="B26" s="28">
        <v>7</v>
      </c>
      <c r="C26" s="38"/>
      <c r="D26" s="11" t="s">
        <v>53</v>
      </c>
      <c r="E26" s="12"/>
      <c r="F26" s="12"/>
      <c r="G26" s="35"/>
      <c r="H26" s="36"/>
      <c r="I26" s="37"/>
      <c r="J26" s="13"/>
    </row>
    <row r="27" spans="1:10" x14ac:dyDescent="0.2">
      <c r="A27" s="13"/>
      <c r="B27" s="28">
        <v>8</v>
      </c>
      <c r="C27" s="38"/>
      <c r="D27" s="11" t="s">
        <v>54</v>
      </c>
      <c r="E27" s="76"/>
      <c r="F27" s="76"/>
      <c r="G27" s="73"/>
      <c r="H27" s="36"/>
      <c r="I27" s="37"/>
      <c r="J27" s="13"/>
    </row>
    <row r="28" spans="1:10" x14ac:dyDescent="0.2">
      <c r="A28" s="13"/>
      <c r="B28" s="28">
        <v>9</v>
      </c>
      <c r="C28" s="38"/>
      <c r="D28" s="11" t="s">
        <v>55</v>
      </c>
      <c r="E28" s="76"/>
      <c r="F28" s="76"/>
      <c r="G28" s="29"/>
      <c r="H28" s="36"/>
      <c r="I28" s="37"/>
      <c r="J28" s="13"/>
    </row>
    <row r="29" spans="1:10" x14ac:dyDescent="0.2">
      <c r="A29" s="13"/>
      <c r="B29" s="28">
        <v>10</v>
      </c>
      <c r="C29" s="38"/>
      <c r="D29" s="11" t="s">
        <v>56</v>
      </c>
      <c r="E29" s="76"/>
      <c r="F29" s="76"/>
      <c r="G29" s="29"/>
      <c r="H29" s="29"/>
      <c r="I29" s="30"/>
      <c r="J29" s="13"/>
    </row>
    <row r="30" spans="1:10" ht="13.5" thickBot="1" x14ac:dyDescent="0.25">
      <c r="A30" s="13"/>
      <c r="B30" s="31"/>
      <c r="C30" s="43"/>
      <c r="D30" s="32" t="s">
        <v>57</v>
      </c>
      <c r="E30" s="77"/>
      <c r="F30" s="77"/>
      <c r="G30" s="33"/>
      <c r="H30" s="33"/>
      <c r="I30" s="34"/>
      <c r="J30" s="13"/>
    </row>
    <row r="31" spans="1:10" ht="13.5" customHeight="1" thickTop="1" x14ac:dyDescent="0.2">
      <c r="A31" s="13"/>
      <c r="B31" s="13"/>
      <c r="C31" s="13"/>
      <c r="D31" s="1"/>
      <c r="E31" s="1"/>
      <c r="F31" s="1"/>
      <c r="G31" s="13"/>
      <c r="H31" s="13"/>
      <c r="I31" s="13"/>
      <c r="J31" s="13"/>
    </row>
    <row r="32" spans="1:10" x14ac:dyDescent="0.2">
      <c r="A32" s="13"/>
      <c r="B32" s="13"/>
      <c r="C32" s="13"/>
      <c r="D32" s="1"/>
      <c r="E32" s="1"/>
      <c r="F32" s="1"/>
      <c r="G32" s="13"/>
      <c r="H32" s="13"/>
      <c r="I32" s="13"/>
      <c r="J32" s="13"/>
    </row>
    <row r="33" spans="1:10" x14ac:dyDescent="0.2">
      <c r="A33" s="13"/>
      <c r="B33" s="13"/>
      <c r="C33" s="13"/>
      <c r="D33" s="1"/>
      <c r="E33" s="1"/>
      <c r="F33" s="1"/>
      <c r="G33" s="13"/>
      <c r="H33" s="13"/>
      <c r="I33" s="13"/>
      <c r="J33" s="13"/>
    </row>
    <row r="34" spans="1:10" x14ac:dyDescent="0.2">
      <c r="A34" s="13"/>
      <c r="B34" s="13"/>
      <c r="C34" s="13"/>
      <c r="D34" s="1"/>
      <c r="E34" s="1"/>
      <c r="F34" s="1"/>
      <c r="G34" s="13"/>
      <c r="H34" s="13"/>
      <c r="I34" s="13"/>
      <c r="J34" s="13"/>
    </row>
    <row r="35" spans="1:10" x14ac:dyDescent="0.2">
      <c r="A35" s="13"/>
      <c r="B35" s="13"/>
      <c r="C35" s="13"/>
      <c r="D35" s="1"/>
      <c r="E35" s="1"/>
      <c r="F35" s="1"/>
      <c r="G35" s="13"/>
      <c r="H35" s="13"/>
      <c r="I35" s="13"/>
      <c r="J35" s="13"/>
    </row>
    <row r="36" spans="1:10" x14ac:dyDescent="0.2">
      <c r="A36" s="13"/>
      <c r="B36" s="13"/>
      <c r="C36" s="13"/>
      <c r="D36" s="1"/>
      <c r="E36" s="1"/>
      <c r="F36" s="1"/>
      <c r="G36" s="13"/>
      <c r="H36" s="13"/>
      <c r="I36" s="13"/>
      <c r="J36" s="13"/>
    </row>
    <row r="37" spans="1:10" x14ac:dyDescent="0.2">
      <c r="A37" s="13"/>
      <c r="B37" s="13"/>
      <c r="C37" s="13"/>
      <c r="D37" s="1"/>
      <c r="E37" s="1"/>
      <c r="F37" s="1"/>
      <c r="G37" s="13"/>
      <c r="H37" s="13"/>
      <c r="I37" s="13"/>
      <c r="J37" s="13"/>
    </row>
    <row r="38" spans="1:10" x14ac:dyDescent="0.2">
      <c r="A38" s="13"/>
      <c r="B38" s="13"/>
      <c r="C38" s="13"/>
      <c r="D38" s="1"/>
      <c r="E38" s="1"/>
      <c r="F38" s="1"/>
      <c r="G38" s="13"/>
      <c r="H38" s="13"/>
      <c r="I38" s="13"/>
      <c r="J38" s="13"/>
    </row>
    <row r="39" spans="1:10" x14ac:dyDescent="0.2">
      <c r="A39" s="13"/>
      <c r="B39" s="13"/>
      <c r="C39" s="13"/>
      <c r="D39" s="1"/>
      <c r="E39" s="1"/>
      <c r="F39" s="1"/>
      <c r="G39" s="13"/>
      <c r="H39" s="13"/>
      <c r="I39" s="13"/>
      <c r="J39" s="13"/>
    </row>
    <row r="40" spans="1:10" x14ac:dyDescent="0.2">
      <c r="A40" s="13"/>
      <c r="B40" s="13"/>
      <c r="C40" s="13"/>
      <c r="D40" s="1"/>
      <c r="E40" s="1"/>
      <c r="F40" s="1"/>
      <c r="G40" s="13"/>
      <c r="H40" s="13"/>
      <c r="I40" s="13"/>
      <c r="J40" s="13"/>
    </row>
    <row r="41" spans="1:10" x14ac:dyDescent="0.2">
      <c r="A41" s="13"/>
      <c r="B41" s="13"/>
      <c r="C41" s="13"/>
      <c r="D41" s="1"/>
      <c r="E41" s="1"/>
      <c r="F41" s="1"/>
      <c r="G41" s="13"/>
      <c r="H41" s="13"/>
      <c r="I41" s="13"/>
      <c r="J41" s="13"/>
    </row>
    <row r="43" spans="1:10" s="1" customFormat="1" x14ac:dyDescent="0.2">
      <c r="A43" s="220" t="s">
        <v>64</v>
      </c>
      <c r="B43" s="220"/>
      <c r="C43" s="72"/>
      <c r="D43" s="75" t="s">
        <v>34</v>
      </c>
      <c r="E43" s="74"/>
      <c r="G43" s="72"/>
      <c r="H43" s="72"/>
      <c r="I43" s="75" t="s">
        <v>76</v>
      </c>
      <c r="J43" s="72"/>
    </row>
  </sheetData>
  <mergeCells count="11">
    <mergeCell ref="I8:J8"/>
    <mergeCell ref="A3:J3"/>
    <mergeCell ref="A4:J4"/>
    <mergeCell ref="A5:J5"/>
    <mergeCell ref="A43:B43"/>
    <mergeCell ref="G19:I19"/>
    <mergeCell ref="G20:I20"/>
    <mergeCell ref="G21:I21"/>
    <mergeCell ref="G22:I22"/>
    <mergeCell ref="G23:I23"/>
    <mergeCell ref="G24:I24"/>
  </mergeCells>
  <phoneticPr fontId="16" type="noConversion"/>
  <pageMargins left="0.49" right="0.27" top="0.34" bottom="0.24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2026-05-09T12:14:19Z</cp:lastPrinted>
  <dcterms:created xsi:type="dcterms:W3CDTF">2014-04-22T09:32:45Z</dcterms:created>
  <dcterms:modified xsi:type="dcterms:W3CDTF">2026-05-10T06:58:45Z</dcterms:modified>
</cp:coreProperties>
</file>